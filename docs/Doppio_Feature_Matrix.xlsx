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Matrix" sheetId="1" r:id="rId4"/>
    <sheet state="visible" name="Overview &amp; Legend" sheetId="2" r:id="rId5"/>
  </sheets>
  <definedNames>
    <definedName hidden="1" localSheetId="0" name="_xlnm._FilterDatabase">'Feature Matrix'!$A$4:$M$122</definedName>
  </definedNames>
  <calcPr/>
</workbook>
</file>

<file path=xl/sharedStrings.xml><?xml version="1.0" encoding="utf-8"?>
<sst xmlns="http://schemas.openxmlformats.org/spreadsheetml/2006/main" count="1638" uniqueCount="759">
  <si>
    <t>Doppio — Detailed Feature &amp; Task Matrix</t>
  </si>
  <si>
    <t>Doppio — your AI double that listens &amp; remembers, in Bangla  |  Task-list-ready breakdown  |  Initial → MVP → V1 → V2 → V3 (North-Star)</t>
  </si>
  <si>
    <t>ID</t>
  </si>
  <si>
    <t>Phase</t>
  </si>
  <si>
    <t>Epic</t>
  </si>
  <si>
    <t>Feature</t>
  </si>
  <si>
    <t>Task</t>
  </si>
  <si>
    <t>User Story</t>
  </si>
  <si>
    <t>Acceptance Criteria</t>
  </si>
  <si>
    <t>Persona</t>
  </si>
  <si>
    <t>Target User</t>
  </si>
  <si>
    <t>Component</t>
  </si>
  <si>
    <t>Dependencies</t>
  </si>
  <si>
    <t>Priority</t>
  </si>
  <si>
    <t>Effort</t>
  </si>
  <si>
    <t>INIT-01</t>
  </si>
  <si>
    <t>Initial</t>
  </si>
  <si>
    <t>Onboarding &amp; Account</t>
  </si>
  <si>
    <t>Phone / Email OTP sign-up</t>
  </si>
  <si>
    <t>Phone + OTP auth flow</t>
  </si>
  <si>
    <t>As a user, I want to sign up with my phone number and an OTP so I can start without a card.</t>
  </si>
  <si>
    <t>SMS OTP delivered &lt;30s; resend &amp; retry; session token issued; invalid/expired OTP handled.</t>
  </si>
  <si>
    <t>User</t>
  </si>
  <si>
    <t>All</t>
  </si>
  <si>
    <t>Backend, Mobile</t>
  </si>
  <si>
    <t>—</t>
  </si>
  <si>
    <t>P0</t>
  </si>
  <si>
    <t>M</t>
  </si>
  <si>
    <t>INIT-02</t>
  </si>
  <si>
    <t>Email sign-up fallback</t>
  </si>
  <si>
    <t>As a user, I want an email option in case SMS fails.</t>
  </si>
  <si>
    <t>Email + verification link; duplicate-account prevention; merges to one identity.</t>
  </si>
  <si>
    <t>P1</t>
  </si>
  <si>
    <t>S</t>
  </si>
  <si>
    <t>INIT-03</t>
  </si>
  <si>
    <t>Bangla / English UI toggle</t>
  </si>
  <si>
    <t>i18n localization framework</t>
  </si>
  <si>
    <t>As a user, I want the interface in Bangla so I can navigate comfortably.</t>
  </si>
  <si>
    <t>All strings externalized; language switch persists; Bangla webfont renders on all devices.</t>
  </si>
  <si>
    <t>Mobile, Chrome</t>
  </si>
  <si>
    <t>INIT-04</t>
  </si>
  <si>
    <t>Bangla translation pass</t>
  </si>
  <si>
    <t>As a user, I want correct, natural Bangla copy.</t>
  </si>
  <si>
    <t>100% of MVP screens translated and reviewed by a native speaker.</t>
  </si>
  <si>
    <t>Design</t>
  </si>
  <si>
    <t>INIT-05</t>
  </si>
  <si>
    <t>Guided first-run walkthrough</t>
  </si>
  <si>
    <t>Onboarding + permission primers</t>
  </si>
  <si>
    <t>As a user, I want a short walkthrough so I know how to record and read notes.</t>
  </si>
  <si>
    <t>Mic-permission primer; 3–4 skippable slides; shown once; re-openable from settings.</t>
  </si>
  <si>
    <t>Mobile</t>
  </si>
  <si>
    <t>INIT-06</t>
  </si>
  <si>
    <t>Audio Capture</t>
  </si>
  <si>
    <t>In-person mobile recording</t>
  </si>
  <si>
    <t>Mic capture + recording controls</t>
  </si>
  <si>
    <t>As a user, I want to record a live lecture or conversation on my phone.</t>
  </si>
  <si>
    <t>Start/stop; live level meter; handles incoming-call interruption; autosave on crash.</t>
  </si>
  <si>
    <t>Student, Doctor</t>
  </si>
  <si>
    <t>INIT-07</t>
  </si>
  <si>
    <t>Audio chunking pipeline</t>
  </si>
  <si>
    <t>As the system, I want audio chunked for streaming transcription.</t>
  </si>
  <si>
    <t>Gapless chunks; ordered upload/queue; resilient to network drop.</t>
  </si>
  <si>
    <t>System</t>
  </si>
  <si>
    <t>Mobile, Backend</t>
  </si>
  <si>
    <t>INIT-08</t>
  </si>
  <si>
    <t>Background + low-battery recording</t>
  </si>
  <si>
    <t>Background recording service</t>
  </si>
  <si>
    <t>As the system, I want recording to continue in the background efficiently.</t>
  </si>
  <si>
    <t>Continues screen-off/backgrounded; survives 12h; battery drain within target/hr.</t>
  </si>
  <si>
    <t>L</t>
  </si>
  <si>
    <t>INIT-09</t>
  </si>
  <si>
    <t>Pause / resume recording</t>
  </si>
  <si>
    <t>Pause/resume control + state</t>
  </si>
  <si>
    <t>As a user, I want to pause to skip private moments.</t>
  </si>
  <si>
    <t>Paused audio excluded; seamless resume; clear paused indicator.</t>
  </si>
  <si>
    <t>INIT-10</t>
  </si>
  <si>
    <t>Transcription (Core)</t>
  </si>
  <si>
    <t>Bangla speech-to-text engine</t>
  </si>
  <si>
    <t>STT approach eval (build vs API)</t>
  </si>
  <si>
    <t>As the system, I want the best Bangla STT path chosen on evidence.</t>
  </si>
  <si>
    <t>Benchmark WER on Bangla test set; build-vs-API decision; unit-cost model documented.</t>
  </si>
  <si>
    <t>ML-STT</t>
  </si>
  <si>
    <t>XL</t>
  </si>
  <si>
    <t>INIT-11</t>
  </si>
  <si>
    <t>Bangla STT inference service</t>
  </si>
  <si>
    <t>As a user, I want my Bangla speech transcribed accurately.</t>
  </si>
  <si>
    <t>Streaming + batch modes; &lt;2x real-time; WER target met; horizontally scalable.</t>
  </si>
  <si>
    <t>ML-STT, Backend</t>
  </si>
  <si>
    <t>INIT-12</t>
  </si>
  <si>
    <t>Dialect, punctuation &amp; numerals</t>
  </si>
  <si>
    <t>As the system, I want common accents and formatting handled.</t>
  </si>
  <si>
    <t>Common regional accents handled; auto-punctuation; Bangla numerals &amp; dates.</t>
  </si>
  <si>
    <t>INIT-13</t>
  </si>
  <si>
    <t>Bangla–English code-switch</t>
  </si>
  <si>
    <t>Code-switch language model</t>
  </si>
  <si>
    <t>As the system, I want mixed Bangla-English speech transcribed correctly.</t>
  </si>
  <si>
    <t>Mixed utterances transcribed; English technical terms preserved; consistent script.</t>
  </si>
  <si>
    <t>Professional, Doctor</t>
  </si>
  <si>
    <t>INIT-21</t>
  </si>
  <si>
    <t>Bangla quality gate</t>
  </si>
  <si>
    <t>Bangla quality benchmark &amp; release gate</t>
  </si>
  <si>
    <t>As the system, I want Bangla quality measured against a fixed bar so it ships only when it is genuinely good.</t>
  </si>
  <si>
    <t>Curated Bangla + code-switch test set; WER &amp; summary-quality thresholds defined as a release gate; tracked every build.</t>
  </si>
  <si>
    <t>ML-STT, AI-LLM</t>
  </si>
  <si>
    <t>INIT-11, INIT-13</t>
  </si>
  <si>
    <t>INIT-14</t>
  </si>
  <si>
    <t>Live transcript view</t>
  </si>
  <si>
    <t>Real-time transcript UI</t>
  </si>
  <si>
    <t>As a user, I want to see the transcript appear live to confirm capture.</t>
  </si>
  <si>
    <t>Latency &lt;1.5s; partial→final tokens; auto-scroll; timestamps.</t>
  </si>
  <si>
    <t>INIT-15</t>
  </si>
  <si>
    <t>Data &amp; Storage</t>
  </si>
  <si>
    <t>Local-first storage</t>
  </si>
  <si>
    <t>On-device encrypted store</t>
  </si>
  <si>
    <t>As the system, I want recordings stored on-device by default.</t>
  </si>
  <si>
    <t>Encrypted at rest; survives restart; storage-quota management &amp; cleanup.</t>
  </si>
  <si>
    <t>INIT-16</t>
  </si>
  <si>
    <t>Recording / session list</t>
  </si>
  <si>
    <t>Session list + detail screen</t>
  </si>
  <si>
    <t>As a user, I want a list of past recordings so I can find them later.</t>
  </si>
  <si>
    <t>Sorted by date; title search; opens to transcript/notes/summary.</t>
  </si>
  <si>
    <t>INIT-17</t>
  </si>
  <si>
    <t>Delete / rename session</t>
  </si>
  <si>
    <t>As a user, I want to rename or delete sessions.</t>
  </si>
  <si>
    <t>Delete with confirm; rename persists; reflected in search.</t>
  </si>
  <si>
    <t>INIT-18</t>
  </si>
  <si>
    <t>Privacy &amp; Security</t>
  </si>
  <si>
    <t>On-device transcription (no audio retention)</t>
  </si>
  <si>
    <t>Private mode</t>
  </si>
  <si>
    <t>As the system, I want audio discarded after transcription for sensitive use.</t>
  </si>
  <si>
    <t>Toggle; audio never uploaded; only transcript stored; clearly indicated in UI.</t>
  </si>
  <si>
    <t>Doctor</t>
  </si>
  <si>
    <t>Mobile, ML-STT</t>
  </si>
  <si>
    <t>INIT-11, INIT-15</t>
  </si>
  <si>
    <t>INIT-19</t>
  </si>
  <si>
    <t>Platform Foundation</t>
  </si>
  <si>
    <t>Core backend</t>
  </si>
  <si>
    <t>Auth / identity + API gateway</t>
  </si>
  <si>
    <t>As the system, I want a secure backend foundation.</t>
  </si>
  <si>
    <t>JWT auth; rate limiting; versioned secure endpoints; secrets management.</t>
  </si>
  <si>
    <t>Backend, Infra</t>
  </si>
  <si>
    <t>INIT-20</t>
  </si>
  <si>
    <t>Core infra</t>
  </si>
  <si>
    <t>CI/CD, environments, monitoring</t>
  </si>
  <si>
    <t>As the system, I want reliable deploy &amp; observability.</t>
  </si>
  <si>
    <t>Staging + prod; deploy pipeline; centralized logging, metrics &amp; alerting.</t>
  </si>
  <si>
    <t>Infra</t>
  </si>
  <si>
    <t>MVP-01</t>
  </si>
  <si>
    <t>MVP</t>
  </si>
  <si>
    <t>AI Notes &amp; Summaries</t>
  </si>
  <si>
    <t>Auto session summary</t>
  </si>
  <si>
    <t>Summarization pipeline</t>
  </si>
  <si>
    <t>As the system, I want a summary generated after each session.</t>
  </si>
  <si>
    <t>Summary within target time; sections (overview/decisions/next steps); Bangla &amp; English.</t>
  </si>
  <si>
    <t>AI-LLM, Backend</t>
  </si>
  <si>
    <t>MVP-02</t>
  </si>
  <si>
    <t>Prompt + output templates</t>
  </si>
  <si>
    <t>As the system, I want consistent, cost-tracked summary structure.</t>
  </si>
  <si>
    <t>Standard template; token cost logged; configurable length.</t>
  </si>
  <si>
    <t>AI-LLM</t>
  </si>
  <si>
    <t>MVP-03</t>
  </si>
  <si>
    <t>Summary view + regenerate</t>
  </si>
  <si>
    <t>As a user, I want to read, copy and regenerate the summary.</t>
  </si>
  <si>
    <t>View; regenerate; copy-to-clipboard; loading &amp; error states.</t>
  </si>
  <si>
    <t>MVP-04</t>
  </si>
  <si>
    <t>Action item extraction</t>
  </si>
  <si>
    <t>To-do extraction</t>
  </si>
  <si>
    <t>As the system, I want action items pulled automatically.</t>
  </si>
  <si>
    <t>Items with owner/date where stated; editable; deduped.</t>
  </si>
  <si>
    <t>Professional</t>
  </si>
  <si>
    <t>MVP-05</t>
  </si>
  <si>
    <t>To-do management UI</t>
  </si>
  <si>
    <t>As a user, I want to manage extracted tasks.</t>
  </si>
  <si>
    <t>Check off; edit; aggregated tasks view across sessions.</t>
  </si>
  <si>
    <t>MVP-06</t>
  </si>
  <si>
    <t>Editable notes</t>
  </si>
  <si>
    <t>Inline note editor</t>
  </si>
  <si>
    <t>As a user, I want to add my own notes alongside the transcript.</t>
  </si>
  <si>
    <t>Add/edit during &amp; after; autosave; notes linked to timestamps.</t>
  </si>
  <si>
    <t>Student</t>
  </si>
  <si>
    <t>MVP-07</t>
  </si>
  <si>
    <t>Auto title &amp; tagging</t>
  </si>
  <si>
    <t>Auto-title + topic tags</t>
  </si>
  <si>
    <t>As the system, I want sessions auto-titled and tagged.</t>
  </si>
  <si>
    <t>Title generated; 3–5 tags; user-editable; used in search.</t>
  </si>
  <si>
    <t>MVP-08</t>
  </si>
  <si>
    <t>Memory &amp; Search</t>
  </si>
  <si>
    <t>Keyword search</t>
  </si>
  <si>
    <t>Full-text search index</t>
  </si>
  <si>
    <t>As a user, I want to search all my notes by keyword.</t>
  </si>
  <si>
    <t>Indexes transcript+notes+title; Bangla tokenization; ranked results.</t>
  </si>
  <si>
    <t>Journalist</t>
  </si>
  <si>
    <t>Backend</t>
  </si>
  <si>
    <t>MVP-09</t>
  </si>
  <si>
    <t>Search UI + filters</t>
  </si>
  <si>
    <t>As a user, I want to filter and see matches highlighted.</t>
  </si>
  <si>
    <t>Query box; date/type filters; match highlighting.</t>
  </si>
  <si>
    <t>MVP-10</t>
  </si>
  <si>
    <t>Ask Doppio</t>
  </si>
  <si>
    <t>RAG over single session</t>
  </si>
  <si>
    <t>As a user, I want to ask questions about a meeting.</t>
  </si>
  <si>
    <t>Grounded answer; cites timestamps; Bangla &amp; English Q&amp;A.</t>
  </si>
  <si>
    <t>MVP-11</t>
  </si>
  <si>
    <t>Chat UI</t>
  </si>
  <si>
    <t>As a user, I want a conversational way to query a session.</t>
  </si>
  <si>
    <t>Threaded chat; follow-ups; copy answer; empty/error states.</t>
  </si>
  <si>
    <t>MVP-12</t>
  </si>
  <si>
    <t>Capture Expansion</t>
  </si>
  <si>
    <t>Chrome extension</t>
  </si>
  <si>
    <t>Extension scaffold + tab audio capture</t>
  </si>
  <si>
    <t>As a user, I want to capture Zoom/Meet calls from my browser.</t>
  </si>
  <si>
    <t>Captures tab audio on Meet/Zoom web; start/stop; permission flow.</t>
  </si>
  <si>
    <t>Chrome</t>
  </si>
  <si>
    <t>MVP-13</t>
  </si>
  <si>
    <t>Extension transcript/summary panel</t>
  </si>
  <si>
    <t>As a user, I want live transcript and summary in the browser.</t>
  </si>
  <si>
    <t>Side-panel live transcript; summary after; links to web app.</t>
  </si>
  <si>
    <t>MVP-12, MVP-01</t>
  </si>
  <si>
    <t>MVP-14</t>
  </si>
  <si>
    <t>Quick voice note</t>
  </si>
  <si>
    <t>One-tap voice memo</t>
  </si>
  <si>
    <t>As a user, I want quick voice memos transcribed.</t>
  </si>
  <si>
    <t>Record from home screen; transcribed; saved as a session.</t>
  </si>
  <si>
    <t>MVP-15</t>
  </si>
  <si>
    <t>Monetization &amp; Payments</t>
  </si>
  <si>
    <t>Free tier</t>
  </si>
  <si>
    <t>Usage metering + caps</t>
  </si>
  <si>
    <t>As the system, I want to meter usage and enforce free limits.</t>
  </si>
  <si>
    <t>Track minutes/AI calls; enforce free cap; show usage to user.</t>
  </si>
  <si>
    <t>MVP-16</t>
  </si>
  <si>
    <t>Pro subscription</t>
  </si>
  <si>
    <t>Plans + entitlements</t>
  </si>
  <si>
    <t>As the system, I want plans that gate features.</t>
  </si>
  <si>
    <t>Monthly ৳200–300; entitlement gates; grace period &amp; expiry handling.</t>
  </si>
  <si>
    <t>MVP-17</t>
  </si>
  <si>
    <t>bKash / Nagad / Rocket</t>
  </si>
  <si>
    <t>bKash integration</t>
  </si>
  <si>
    <t>As a user, I want to pay with bKash since I have no card.</t>
  </si>
  <si>
    <t>Checkout; webhook confirms payment; renewal; failure/refund handling.</t>
  </si>
  <si>
    <t>Payments, Backend</t>
  </si>
  <si>
    <t>MVP-18</t>
  </si>
  <si>
    <t>Nagad + Rocket integration</t>
  </si>
  <si>
    <t>As a user, I want more MFS payment options.</t>
  </si>
  <si>
    <t>Both gateways live; unified receipt &amp; reconciliation.</t>
  </si>
  <si>
    <t>MVP-19</t>
  </si>
  <si>
    <t>In-app subscription mgmt</t>
  </si>
  <si>
    <t>Manage / cancel / upgrade</t>
  </si>
  <si>
    <t>As a user, I want to manage my plan in-app.</t>
  </si>
  <si>
    <t>See current plan; upgrade/downgrade; cancel; invoice history.</t>
  </si>
  <si>
    <t>MVP-20</t>
  </si>
  <si>
    <t>Sync &amp; Platform</t>
  </si>
  <si>
    <t>Cross-surface sync (web · mobile · Chrome)</t>
  </si>
  <si>
    <t>Cloud sync service</t>
  </si>
  <si>
    <t>As the system, I want sessions synced across the web portal, mobile and the Chrome extension.</t>
  </si>
  <si>
    <t>Two-way sync across all surfaces; conflict resolution; offline queue &amp; retry.</t>
  </si>
  <si>
    <t>INIT-15, INIT-19</t>
  </si>
  <si>
    <t>MVP-21</t>
  </si>
  <si>
    <t>iOS app</t>
  </si>
  <si>
    <t>iOS parity build</t>
  </si>
  <si>
    <t>As a user, I want the app on iPhone too.</t>
  </si>
  <si>
    <t>Capture/transcript/notes/summary parity; background recording within iOS limits.</t>
  </si>
  <si>
    <t>iOS</t>
  </si>
  <si>
    <t>INIT-06, INIT-11, MVP-01</t>
  </si>
  <si>
    <t>MVP-22</t>
  </si>
  <si>
    <t>Encrypted cloud backup</t>
  </si>
  <si>
    <t>Optional encrypted backup</t>
  </si>
  <si>
    <t>As a user, I want optional backup so I don't lose notes.</t>
  </si>
  <si>
    <t>Opt-in; encrypted; restore on a new device.</t>
  </si>
  <si>
    <t>MVP-23</t>
  </si>
  <si>
    <t>Sharing &amp; Export</t>
  </si>
  <si>
    <t>Share summary</t>
  </si>
  <si>
    <t>Share to WhatsApp / link</t>
  </si>
  <si>
    <t>As a user, I want to share a summary via WhatsApp.</t>
  </si>
  <si>
    <t>Share as text or link; link access control; expiry option.</t>
  </si>
  <si>
    <t>MVP-24</t>
  </si>
  <si>
    <t>Export PDF / Word</t>
  </si>
  <si>
    <t>Export transcript + summary</t>
  </si>
  <si>
    <t>As a user, I want to export to share with others.</t>
  </si>
  <si>
    <t>PDF &amp; DOCX; Bangla font embedded; includes notes &amp; action items.</t>
  </si>
  <si>
    <t>MVP-25</t>
  </si>
  <si>
    <t>Localization &amp; Access</t>
  </si>
  <si>
    <t>Data-light mode</t>
  </si>
  <si>
    <t>Bandwidth optimization</t>
  </si>
  <si>
    <t>As the system, I want low data usage on mobile networks.</t>
  </si>
  <si>
    <t>Compressed uploads; toggle; usable on 2G/3G.</t>
  </si>
  <si>
    <t>MVP-26</t>
  </si>
  <si>
    <t>Offline transcription</t>
  </si>
  <si>
    <t>On-device offline STT model</t>
  </si>
  <si>
    <t>As the system, I want transcription to work offline.</t>
  </si>
  <si>
    <t>Smaller on-device model; queues &amp; syncs results when online.</t>
  </si>
  <si>
    <t>ML-STT, Mobile</t>
  </si>
  <si>
    <t>P2</t>
  </si>
  <si>
    <t>MVP-27</t>
  </si>
  <si>
    <t>AI Quality</t>
  </si>
  <si>
    <t>Bangla AI-quality validation</t>
  </si>
  <si>
    <t>Validate summaries / action items / Q&amp;A on Bangla</t>
  </si>
  <si>
    <t>As the system, I want the AI layer proven on Bangla, not just English.</t>
  </si>
  <si>
    <t>Summaries, action items &amp; Q&amp;A evaluated on real Bangla + code-switch sessions; quality bar met before launch.</t>
  </si>
  <si>
    <t>MVP-01, MVP-04, MVP-10</t>
  </si>
  <si>
    <t>MVP-28</t>
  </si>
  <si>
    <t>Web Portal</t>
  </si>
  <si>
    <t>Web app shell &amp; auth</t>
  </si>
  <si>
    <t>Responsive web portal + sign-in</t>
  </si>
  <si>
    <t>As a user, I want a web portal where I sign in and reach everything.</t>
  </si>
  <si>
    <t>Responsive layout; OTP/email sign-in; top nav (Home, Library, Search, Settings); session persistence.</t>
  </si>
  <si>
    <t>Web, Backend</t>
  </si>
  <si>
    <t>MVP-29</t>
  </si>
  <si>
    <t>Session library</t>
  </si>
  <si>
    <t>Web library &amp; dashboard</t>
  </si>
  <si>
    <t>As a user, I want all my sessions in one place on the web.</t>
  </si>
  <si>
    <t>Lists &amp; filters all sessions; recents on the dashboard; opens to a session.</t>
  </si>
  <si>
    <t>Web</t>
  </si>
  <si>
    <t>MVP-28, INIT-16</t>
  </si>
  <si>
    <t>MVP-30</t>
  </si>
  <si>
    <t>Session workspace</t>
  </si>
  <si>
    <t>Web transcript / summary / notes view</t>
  </si>
  <si>
    <t>As a user, I want to read, edit and play back a session in the portal.</t>
  </si>
  <si>
    <t>Transcript + summary + notes; edit notes; regenerate summary; audio playback synced to transcript.</t>
  </si>
  <si>
    <t>MVP-28, MVP-01, MVP-06</t>
  </si>
  <si>
    <t>MVP-31</t>
  </si>
  <si>
    <t>Search &amp; Ask on web</t>
  </si>
  <si>
    <t>Web search + Ask Doppio</t>
  </si>
  <si>
    <t>As a user, I want to search and ask questions about my sessions in the portal.</t>
  </si>
  <si>
    <t>Full-text search with filters; Ask Doppio chat; grounded answers with timestamps.</t>
  </si>
  <si>
    <t>MVP-08, MVP-10, MVP-28</t>
  </si>
  <si>
    <t>MVP-32</t>
  </si>
  <si>
    <t>Account &amp; billing</t>
  </si>
  <si>
    <t>Web subscription &amp; billing centre</t>
  </si>
  <si>
    <t>As a user, I want to manage my plan and payments on the web.</t>
  </si>
  <si>
    <t>View/upgrade/cancel plan; bKash/Nagad/Rocket; invoice history; usage meter.</t>
  </si>
  <si>
    <t>Web, Payments</t>
  </si>
  <si>
    <t>MVP-16, MVP-28</t>
  </si>
  <si>
    <t>MVP-33</t>
  </si>
  <si>
    <t>Settings &amp; privacy</t>
  </si>
  <si>
    <t>Web settings &amp; privacy controls</t>
  </si>
  <si>
    <t>As a user, I want to manage language, privacy and data from the portal.</t>
  </si>
  <si>
    <t>Language toggle; private mode; profile; data export &amp; account deletion.</t>
  </si>
  <si>
    <t>MVP-34</t>
  </si>
  <si>
    <t>Export &amp; share</t>
  </si>
  <si>
    <t>Web export &amp; share</t>
  </si>
  <si>
    <t>As a user, I want to export and share sessions from the portal.</t>
  </si>
  <si>
    <t>Export PDF/DOCX; share link or WhatsApp; access controls on shared links.</t>
  </si>
  <si>
    <t>MVP-23, MVP-24, MVP-28</t>
  </si>
  <si>
    <t>MVP-35</t>
  </si>
  <si>
    <t>Import &amp; Memory</t>
  </si>
  <si>
    <t>File upload</t>
  </si>
  <si>
    <t>Audio/video upload → transcribe &amp; summarize</t>
  </si>
  <si>
    <t>As a user, I want to upload existing recordings and have them transcribed into memory.</t>
  </si>
  <si>
    <t>Accepts mp3/wav/m4a/mp4; runs standard pipeline; counts against usage; progress + error states.</t>
  </si>
  <si>
    <t>Web, Mobile, Backend, ML-STT</t>
  </si>
  <si>
    <t>INIT-11, MVP-01, MVP-15</t>
  </si>
  <si>
    <t>MVP-36</t>
  </si>
  <si>
    <t>Share-to-Doppio</t>
  </si>
  <si>
    <t>WhatsApp / share-sheet voice-note import</t>
  </si>
  <si>
    <t>As a user, I want to forward a voice note straight into Doppio.</t>
  </si>
  <si>
    <t>Appears in OS share sheet; imports audio; becomes a session.</t>
  </si>
  <si>
    <t>MVP-37</t>
  </si>
  <si>
    <t>Text import</t>
  </si>
  <si>
    <t>Transcript / text-note import</t>
  </si>
  <si>
    <t>As a user, I want to bring in an existing transcript or notes as a session.</t>
  </si>
  <si>
    <t>Paste or upload text; stored &amp; indexed as a session.</t>
  </si>
  <si>
    <t>V1-01</t>
  </si>
  <si>
    <t>V1</t>
  </si>
  <si>
    <t>Content Generation</t>
  </si>
  <si>
    <t>Generate docs</t>
  </si>
  <si>
    <t>Content-generation engine</t>
  </si>
  <si>
    <t>As a user, I want documents generated from my notes.</t>
  </si>
  <si>
    <t>Pick template; generate from session; edit &amp; export; Bangla/English.</t>
  </si>
  <si>
    <t>V1-02</t>
  </si>
  <si>
    <t>Study guide / email / MoM formats</t>
  </si>
  <si>
    <t>As a user, I want ready-made formats for my use cases.</t>
  </si>
  <si>
    <t>Study guide, follow-up email, minutes formats; editable.</t>
  </si>
  <si>
    <t>Student, Professional</t>
  </si>
  <si>
    <t>V1-03</t>
  </si>
  <si>
    <t>Domain templates</t>
  </si>
  <si>
    <t>SOAP / minutes / interview templates</t>
  </si>
  <si>
    <t>As a user, I want structured output for my field.</t>
  </si>
  <si>
    <t>Domain-specific structure (e.g. doctor SOAP); editable; saved presets.</t>
  </si>
  <si>
    <t>V1-04</t>
  </si>
  <si>
    <t>Auto-translate</t>
  </si>
  <si>
    <t>Bangla ↔ English translation</t>
  </si>
  <si>
    <t>As the system, I want summaries/transcripts translated.</t>
  </si>
  <si>
    <t>Toggle language; acceptable quality; preserves key terms.</t>
  </si>
  <si>
    <t>V1-05</t>
  </si>
  <si>
    <t>Deep Memory</t>
  </si>
  <si>
    <t>Deep search across meetings</t>
  </si>
  <si>
    <t>Cross-session RAG</t>
  </si>
  <si>
    <t>As a user, I want to ask questions across all meetings.</t>
  </si>
  <si>
    <t>Answers span sessions; cite source meeting; Bangla &amp; English.</t>
  </si>
  <si>
    <t>V1-06</t>
  </si>
  <si>
    <t>Bangla vector index</t>
  </si>
  <si>
    <t>As the system, I want embeddings for Bangla retrieval.</t>
  </si>
  <si>
    <t>Bangla embeddings; incremental indexing; relevance tuned.</t>
  </si>
  <si>
    <t>ML, Backend</t>
  </si>
  <si>
    <t>V1-07</t>
  </si>
  <si>
    <t>Proactive suggestions</t>
  </si>
  <si>
    <t>Live suggestion engine</t>
  </si>
  <si>
    <t>As the system, I want relevant context surfaced live.</t>
  </si>
  <si>
    <t>Surfaces related past context during a meeting; opt-in; low latency.</t>
  </si>
  <si>
    <t>V1-08</t>
  </si>
  <si>
    <t>Integrations</t>
  </si>
  <si>
    <t>Google Calendar sync</t>
  </si>
  <si>
    <t>Calendar OAuth + event import</t>
  </si>
  <si>
    <t>As the system, I want meetings detected from the calendar.</t>
  </si>
  <si>
    <t>Connect Google; auto-create sessions from events; pre-meeting reminder.</t>
  </si>
  <si>
    <t>V1-09</t>
  </si>
  <si>
    <t>Meeting bot</t>
  </si>
  <si>
    <t>Zoom/Meet/Teams join-bot</t>
  </si>
  <si>
    <t>As a user, I want a bot to join and record calls.</t>
  </si>
  <si>
    <t>Bot joins via link; records; posts transcript &amp; summary back.</t>
  </si>
  <si>
    <t>V1-10</t>
  </si>
  <si>
    <t>Gmail follow-up</t>
  </si>
  <si>
    <t>Gmail send integration</t>
  </si>
  <si>
    <t>As a user, I want generated follow-ups ready in Gmail.</t>
  </si>
  <si>
    <t>Connect Gmail; create draft or send generated follow-up.</t>
  </si>
  <si>
    <t>V1-11</t>
  </si>
  <si>
    <t>Collaboration</t>
  </si>
  <si>
    <t>Shared workspaces</t>
  </si>
  <si>
    <t>Teams / workspaces + roles</t>
  </si>
  <si>
    <t>As a user, I want shared folders for my team.</t>
  </si>
  <si>
    <t>Create team; invite members; shared session folders; permissions.</t>
  </si>
  <si>
    <t>V1-12</t>
  </si>
  <si>
    <t>Workspace UI</t>
  </si>
  <si>
    <t>As a user, I want to switch between personal and team spaces.</t>
  </si>
  <si>
    <t>Workspace switcher; shared session list; member visibility.</t>
  </si>
  <si>
    <t>V1-13</t>
  </si>
  <si>
    <t>Comments &amp; highlights</t>
  </si>
  <si>
    <t>Transcript annotation</t>
  </si>
  <si>
    <t>As a user, I want to highlight and comment on the transcript.</t>
  </si>
  <si>
    <t>Highlight text; threaded comments; @mention; resolve.</t>
  </si>
  <si>
    <t>V1-14</t>
  </si>
  <si>
    <t>Speaker identification</t>
  </si>
  <si>
    <t>Diarization pipeline</t>
  </si>
  <si>
    <t>As the system, I want to label who said what.</t>
  </si>
  <si>
    <t>Separates speakers; rename labels; works on Bangla audio.</t>
  </si>
  <si>
    <t>V1-15</t>
  </si>
  <si>
    <t>Monetization</t>
  </si>
  <si>
    <t>Team / SME plans</t>
  </si>
  <si>
    <t>Team billing + seats</t>
  </si>
  <si>
    <t>As an admin, I want a team plan with central billing.</t>
  </si>
  <si>
    <t>Per-seat pricing; central invoice; bKash/card; add/remove seats.</t>
  </si>
  <si>
    <t>Admin</t>
  </si>
  <si>
    <t>MVP-16, V1-11</t>
  </si>
  <si>
    <t>V1-16</t>
  </si>
  <si>
    <t>Student discount</t>
  </si>
  <si>
    <t>Student verification tier</t>
  </si>
  <si>
    <t>As a user, I want a discounted student plan.</t>
  </si>
  <si>
    <t>Verify student email/ID; discounted plan applied; periodic re-verify.</t>
  </si>
  <si>
    <t>V1-17</t>
  </si>
  <si>
    <t>Workspace admin</t>
  </si>
  <si>
    <t>Web workspace &amp; member management</t>
  </si>
  <si>
    <t>As an admin, I want to manage my team, roles and shared folders from the portal.</t>
  </si>
  <si>
    <t>Invite/remove members; assign roles; manage shared folders; web-first admin.</t>
  </si>
  <si>
    <t>V1-18</t>
  </si>
  <si>
    <t>Integrations hub</t>
  </si>
  <si>
    <t>Web integrations management</t>
  </si>
  <si>
    <t>As a user, I want to connect and manage integrations from the portal.</t>
  </si>
  <si>
    <t>Connect/disconnect Calendar, Gmail &amp; meeting bot; show status &amp; re-auth.</t>
  </si>
  <si>
    <t>V1-08, V1-09, V1-10</t>
  </si>
  <si>
    <t>V1-19</t>
  </si>
  <si>
    <t>Document to memory</t>
  </si>
  <si>
    <t>Document upload (PDF/DOCX/image OCR)</t>
  </si>
  <si>
    <t>As a user, I want to add documents to memory so search &amp; Ask can use them.</t>
  </si>
  <si>
    <t>PDF/DOCX/image OCR; chunked &amp; indexed; appears in deep search &amp; Ask Doppio.</t>
  </si>
  <si>
    <t>Web, Backend, AI-LLM, ML</t>
  </si>
  <si>
    <t>V1-05, V1-06</t>
  </si>
  <si>
    <t>V1-20</t>
  </si>
  <si>
    <t>Bulk import</t>
  </si>
  <si>
    <t>Bulk / folder import &amp; migration</t>
  </si>
  <si>
    <t>As a user, I want to import many files at once, incl. from other note apps.</t>
  </si>
  <si>
    <t>Multi-file upload; maps other tools' exports; batch status.</t>
  </si>
  <si>
    <t>V1-21</t>
  </si>
  <si>
    <t>Link ingestion</t>
  </si>
  <si>
    <t>Link / article ingestion</t>
  </si>
  <si>
    <t>As a user, I want to drop a URL/article into memory.</t>
  </si>
  <si>
    <t>Fetches &amp; extracts article; indexed for search &amp; Ask.</t>
  </si>
  <si>
    <t>Web, Backend, AI-LLM</t>
  </si>
  <si>
    <t>V2-01</t>
  </si>
  <si>
    <t>V2</t>
  </si>
  <si>
    <t>Second Brain</t>
  </si>
  <si>
    <t>Daily / weekly digest</t>
  </si>
  <si>
    <t>Digest generation + delivery</t>
  </si>
  <si>
    <t>As the system, I want to compile a digest of meetings &amp; tasks.</t>
  </si>
  <si>
    <t>Scheduled digest; push/email; Bangla; user-set cadence.</t>
  </si>
  <si>
    <t>V2-02</t>
  </si>
  <si>
    <t>Cross-meeting insights</t>
  </si>
  <si>
    <t>Theme / connection detection</t>
  </si>
  <si>
    <t>As the system, I want to connect themes across sessions.</t>
  </si>
  <si>
    <t>Surfaces recurring themes, people &amp; open threads across meetings.</t>
  </si>
  <si>
    <t>V2-03</t>
  </si>
  <si>
    <t>Advanced AI</t>
  </si>
  <si>
    <t>Multi-LLM choice</t>
  </si>
  <si>
    <t>Model selector + routing</t>
  </si>
  <si>
    <t>As a user, I want to choose the AI model.</t>
  </si>
  <si>
    <t>Choose Claude/GPT/Gemini; per-task default; relative cost shown.</t>
  </si>
  <si>
    <t>V2-04</t>
  </si>
  <si>
    <t>Custom AI assistants</t>
  </si>
  <si>
    <t>Assistant / persona builder</t>
  </si>
  <si>
    <t>As a user, I want a domain-tuned assistant.</t>
  </si>
  <si>
    <t>Create assistant with custom instructions; reuse across sessions.</t>
  </si>
  <si>
    <t>V2-05</t>
  </si>
  <si>
    <t>Live translated captions</t>
  </si>
  <si>
    <t>Real-time translation overlay</t>
  </si>
  <si>
    <t>As the system, I want live translated captions.</t>
  </si>
  <si>
    <t>Live captions translated; &lt;2s latency; bilingual meeting support.</t>
  </si>
  <si>
    <t>AI-LLM, ML</t>
  </si>
  <si>
    <t>V2-06</t>
  </si>
  <si>
    <t>Vertical – Healthcare</t>
  </si>
  <si>
    <t>EMR-ready clinical note export</t>
  </si>
  <si>
    <t>Structured clinical export</t>
  </si>
  <si>
    <t>As a user, I want consult notes formatted for EMR import.</t>
  </si>
  <si>
    <t>Export to EMR/FHIR or Niramoy format; field mapping; validation.</t>
  </si>
  <si>
    <t>V2-07</t>
  </si>
  <si>
    <t>Medical dictionary</t>
  </si>
  <si>
    <t>Bangla/English medical lexicon</t>
  </si>
  <si>
    <t>As the system, I want accurate medical-term transcription.</t>
  </si>
  <si>
    <t>Medical terms, drug names &amp; abbreviations recognized; custom lexicon.</t>
  </si>
  <si>
    <t>V2-08</t>
  </si>
  <si>
    <t>Vertical – Education</t>
  </si>
  <si>
    <t>Lecture → quiz / flashcards</t>
  </si>
  <si>
    <t>Quiz / flashcard generator</t>
  </si>
  <si>
    <t>As a user, I want quizzes generated from lectures.</t>
  </si>
  <si>
    <t>Generate MCQ &amp; flashcards from a lecture; export/share.</t>
  </si>
  <si>
    <t>V2-09</t>
  </si>
  <si>
    <t>Enterprise &amp; Admin</t>
  </si>
  <si>
    <t>Admin dashboard</t>
  </si>
  <si>
    <t>Usage analytics dashboard</t>
  </si>
  <si>
    <t>As an admin, I want analytics across my team.</t>
  </si>
  <si>
    <t>Per-team usage, minutes, active users; CSV export.</t>
  </si>
  <si>
    <t>Backend, Web</t>
  </si>
  <si>
    <t>V2-10</t>
  </si>
  <si>
    <t>SSO &amp; RBAC</t>
  </si>
  <si>
    <t>SSO + role-based access</t>
  </si>
  <si>
    <t>As an admin, I want SSO and access roles.</t>
  </si>
  <si>
    <t>SSO (Google/SAML); role-based permissions; audit log.</t>
  </si>
  <si>
    <t>V2-11</t>
  </si>
  <si>
    <t>Data residency</t>
  </si>
  <si>
    <t>In-country hosting option</t>
  </si>
  <si>
    <t>As an admin, I want data stored in-country for compliance.</t>
  </si>
  <si>
    <t>Data stored in BD region; compliance documentation provided.</t>
  </si>
  <si>
    <t>V2-12</t>
  </si>
  <si>
    <t>Retention policy</t>
  </si>
  <si>
    <t>Configurable retention controls</t>
  </si>
  <si>
    <t>As an admin, I want to set retention &amp; deletion rules.</t>
  </si>
  <si>
    <t>Set retention period; auto-delete; legal-hold override.</t>
  </si>
  <si>
    <t>V2-13</t>
  </si>
  <si>
    <t>Ecosystem</t>
  </si>
  <si>
    <t>Public API / webhooks</t>
  </si>
  <si>
    <t>Developer API + webhooks</t>
  </si>
  <si>
    <t>As an admin, I want API access to integrate Doppio.</t>
  </si>
  <si>
    <t>API keys; docs; webhook events; per-key rate limits.</t>
  </si>
  <si>
    <t>V2-14</t>
  </si>
  <si>
    <t>Referral program</t>
  </si>
  <si>
    <t>Referral / affiliate system</t>
  </si>
  <si>
    <t>As a user, I want to refer friends for rewards.</t>
  </si>
  <si>
    <t>Referral codes; reward credit; attribution tracking.</t>
  </si>
  <si>
    <t>V3-01</t>
  </si>
  <si>
    <t>V3</t>
  </si>
  <si>
    <t>Lang Depth · Dialects</t>
  </si>
  <si>
    <t>Regional dialect STT</t>
  </si>
  <si>
    <t>Dialect-adaptive Bangla models</t>
  </si>
  <si>
    <t>As a user, I want my regional dialect (Sylheti, Chittagonian, etc.) transcribed accurately.</t>
  </si>
  <si>
    <t>Major dialects detected &amp; transcribed; graceful fallback to standard Bangla; per-dialect WER targets.</t>
  </si>
  <si>
    <t>V3-02</t>
  </si>
  <si>
    <t>Dialect auto-detection</t>
  </si>
  <si>
    <t>As the system, I want to detect the speaker's dialect and switch models automatically.</t>
  </si>
  <si>
    <t>Detects dialect within first utterances; user override; mixed-dialect handling.</t>
  </si>
  <si>
    <t>V3-03</t>
  </si>
  <si>
    <t>Vernacular normalization</t>
  </si>
  <si>
    <t>Colloquial / numeral / date normalization</t>
  </si>
  <si>
    <t>As the system, I want colloquial Bangla normalized cleanly in notes.</t>
  </si>
  <si>
    <t>Local idioms, taka amounts, colloquial dates &amp; numerals normalized in summaries.</t>
  </si>
  <si>
    <t>V3-04</t>
  </si>
  <si>
    <t>Lang Depth · Interpretation</t>
  </si>
  <si>
    <t>Live Bangla-English interpretation</t>
  </si>
  <si>
    <t>Real-time two-way interpretation</t>
  </si>
  <si>
    <t>As a user, I want live spoken translation both ways so a foreign buyer and Bangla staff can talk.</t>
  </si>
  <si>
    <t>Two-way spoken translation; &lt;2s latency; usable live; handles code-switch.</t>
  </si>
  <si>
    <t>V1-04, V2-05</t>
  </si>
  <si>
    <t>V3-05</t>
  </si>
  <si>
    <t>Per-speaker translated captions</t>
  </si>
  <si>
    <t>As a user, I want each speaker's words shown in my chosen language.</t>
  </si>
  <si>
    <t>Per-speaker translated captions with labels; toggle source/target language.</t>
  </si>
  <si>
    <t>V3-04, V1-14</t>
  </si>
  <si>
    <t>V3-06</t>
  </si>
  <si>
    <t>Bilingual aligned transcript export</t>
  </si>
  <si>
    <t>As a user, I want a side-by-side bilingual transcript afterwards.</t>
  </si>
  <si>
    <t>Aligned Bangla/English transcript; export to PDF &amp; DOCX.</t>
  </si>
  <si>
    <t>V3-07</t>
  </si>
  <si>
    <t>Lang Depth · Voice Agent</t>
  </si>
  <si>
    <t>Bangla voice agent</t>
  </si>
  <si>
    <t>Voice query — ask out loud in Bangla</t>
  </si>
  <si>
    <t>As a user, I want to ask my notes questions out loud in Bangla and hear the answer.</t>
  </si>
  <si>
    <t>Voice query in Bangla; grounded answer as text + spoken; conversational follow-ups.</t>
  </si>
  <si>
    <t>V3-08</t>
  </si>
  <si>
    <t>Natural Bangla text-to-speech</t>
  </si>
  <si>
    <t>As the system, I want natural Bangla TTS for spoken answers &amp; summaries.</t>
  </si>
  <si>
    <t>Natural Bangla TTS; adjustable speed; intelligible on low-end speakers.</t>
  </si>
  <si>
    <t>ML</t>
  </si>
  <si>
    <t>V3-09</t>
  </si>
  <si>
    <t>Hands-free conversational mode</t>
  </si>
  <si>
    <t>As a user, I want hands-free voice access while driving or walking.</t>
  </si>
  <si>
    <t>Wake-word / hands-free invoke; conversational follow-ups; safe one-hand UX.</t>
  </si>
  <si>
    <t>Mobile, AI-LLM</t>
  </si>
  <si>
    <t>V3-10</t>
  </si>
  <si>
    <t>Agentic · Follow-through</t>
  </si>
  <si>
    <t>Auto follow-up</t>
  </si>
  <si>
    <t>Auto-draft &amp; send follow-ups</t>
  </si>
  <si>
    <t>As a user, I want follow-up messages drafted and sent from meeting decisions.</t>
  </si>
  <si>
    <t>Drafts from decisions; approve-then-send or auto-send via WhatsApp/email.</t>
  </si>
  <si>
    <t>V1-01, V1-10</t>
  </si>
  <si>
    <t>V3-11</t>
  </si>
  <si>
    <t>Auto-schedule from decisions</t>
  </si>
  <si>
    <t>As the system, I want a meeting scheduled when the conversation agrees to one.</t>
  </si>
  <si>
    <t>Detects scheduling intent then creates a calendar event with attendees &amp; reminders.</t>
  </si>
  <si>
    <t>V3-12</t>
  </si>
  <si>
    <t>Task automation</t>
  </si>
  <si>
    <t>Action-item to reminder/task automation</t>
  </si>
  <si>
    <t>As the system, I want extracted action items turned into tracked reminders.</t>
  </si>
  <si>
    <t>Tasks become reminders with due dates; nudges; sync to external task apps.</t>
  </si>
  <si>
    <t>MVP-04, MVP-05</t>
  </si>
  <si>
    <t>V3-13</t>
  </si>
  <si>
    <t>Document automation</t>
  </si>
  <si>
    <t>Form &amp; document auto-fill</t>
  </si>
  <si>
    <t>As a user, I want forms/reports auto-filled from a session.</t>
  </si>
  <si>
    <t>Populates a chosen template/form from session content; user reviews before save.</t>
  </si>
  <si>
    <t>V3-14</t>
  </si>
  <si>
    <t>Agentic · Orchestration</t>
  </si>
  <si>
    <t>Agentic workflows</t>
  </si>
  <si>
    <t>Custom trigger-to-action recipes</t>
  </si>
  <si>
    <t>As a user, I want to automate 'if a meeting is tagged X, do Y'.</t>
  </si>
  <si>
    <t>Build &amp; save automations; template library; enable/disable per workspace.</t>
  </si>
  <si>
    <t>V3-10, V3-12</t>
  </si>
  <si>
    <t>V3-15</t>
  </si>
  <si>
    <t>Proactive prep</t>
  </si>
  <si>
    <t>Pre-meeting briefing agent</t>
  </si>
  <si>
    <t>As the system, I want a brief prepared before each meeting.</t>
  </si>
  <si>
    <t>Before a calendar meeting, compiles a brief from related past sessions.</t>
  </si>
  <si>
    <t>V1-05, V1-08</t>
  </si>
  <si>
    <t>V3-16</t>
  </si>
  <si>
    <t>Action approval</t>
  </si>
  <si>
    <t>Multi-step execution with approval &amp; audit</t>
  </si>
  <si>
    <t>As a user, I want to review and approve agent actions safely.</t>
  </si>
  <si>
    <t>Shows planned actions; approve/deny; full audit log of executed actions.</t>
  </si>
  <si>
    <t>Backend, AI-LLM</t>
  </si>
  <si>
    <t>V3-10, V3-11</t>
  </si>
  <si>
    <t>V3-17</t>
  </si>
  <si>
    <t>Ambient · Capture</t>
  </si>
  <si>
    <t>Always-on ambient capture</t>
  </si>
  <si>
    <t>Continuous low-power ambient recording</t>
  </si>
  <si>
    <t>As a user, I want all-day passive capture so I never miss a conversation.</t>
  </si>
  <si>
    <t>All-day battery-safe capture; auto-segmentation; strict privacy guardrails.</t>
  </si>
  <si>
    <t>INIT-08, INIT-18</t>
  </si>
  <si>
    <t>V3-18</t>
  </si>
  <si>
    <t>Auto conversation segmentation</t>
  </si>
  <si>
    <t>As the system, I want the ambient stream split into distinct titled sessions.</t>
  </si>
  <si>
    <t>Splits by speaker/topic/time-gap; auto-titles; merges fragments.</t>
  </si>
  <si>
    <t>ML, AI-LLM</t>
  </si>
  <si>
    <t>V3-19</t>
  </si>
  <si>
    <t>Ambient privacy</t>
  </si>
  <si>
    <t>Consent, mute-zones &amp; retention controls</t>
  </si>
  <si>
    <t>As the system, I want strong privacy guardrails for always-on capture.</t>
  </si>
  <si>
    <t>Pause/mute zones; on-device-only option; consent prompts; auto-purge rules.</t>
  </si>
  <si>
    <t>V3-17, V2-12</t>
  </si>
  <si>
    <t>V3-20</t>
  </si>
  <si>
    <t>Wearable support</t>
  </si>
  <si>
    <t>BT mic / wearable integration</t>
  </si>
  <si>
    <t>As a user, I want to pair a wearable or BT mic for cleaner ambient audio.</t>
  </si>
  <si>
    <t>Pair external BT mic/wearable; battery &amp; connection status; auto-failover to phone.</t>
  </si>
  <si>
    <t>V3-21</t>
  </si>
  <si>
    <t>Ambient · Super-Modes</t>
  </si>
  <si>
    <t>Context-aware modes</t>
  </si>
  <si>
    <t>Auto context detection &amp; lens switching</t>
  </si>
  <si>
    <t>As the system, I want the right template applied based on the situation.</t>
  </si>
  <si>
    <t>Detects lecture vs meeting vs consultation vs field-visit; applies matching summary style.</t>
  </si>
  <si>
    <t>MVP-07, V1-03</t>
  </si>
  <si>
    <t>V3-22</t>
  </si>
  <si>
    <t>Healthcare ambient mode</t>
  </si>
  <si>
    <t>Consultation lens to structured note + Rx (Niramoy)</t>
  </si>
  <si>
    <t>As a doctor, I want ambient consultation capture turned into a clinical note and prescription.</t>
  </si>
  <si>
    <t>Ambient consult to SOAP note + prescription draft to Niramoy/EMR export; on-device privacy.</t>
  </si>
  <si>
    <t>V2-06, V2-07, V3-21</t>
  </si>
  <si>
    <t>V3-23</t>
  </si>
  <si>
    <t>Education ambient mode</t>
  </si>
  <si>
    <t>Lecture lens to notes + study pack</t>
  </si>
  <si>
    <t>As a student, I want ambient lecture capture turned into a Bangla study pack.</t>
  </si>
  <si>
    <t>Ambient lecture to Bangla notes + key terms + quiz/flashcards; coaching-friendly export.</t>
  </si>
  <si>
    <t>V2-08, V3-21</t>
  </si>
  <si>
    <t>V3-24</t>
  </si>
  <si>
    <t>Personal memory</t>
  </si>
  <si>
    <t>Second-brain searchable life-log</t>
  </si>
  <si>
    <t>As a user, I want a searchable timeline of everything I've captured.</t>
  </si>
  <si>
    <t>Chronological ambient memory; deep recall (what did X say about Y last week); privacy-scoped.</t>
  </si>
  <si>
    <t>V1-05, V3-17</t>
  </si>
  <si>
    <t>V3-25</t>
  </si>
  <si>
    <t>Proactive ambient insights</t>
  </si>
  <si>
    <t>As the system, I want to surface commitments and highlights from the ambient stream.</t>
  </si>
  <si>
    <t>Daily highlights; surfaces promises/commitments you made; gentle, non-spammy nudges.</t>
  </si>
  <si>
    <t>V3-24, V2-01</t>
  </si>
  <si>
    <t>Doppio — Overview &amp; Legend</t>
  </si>
  <si>
    <t>How to use this for your task list</t>
  </si>
  <si>
    <t>Granularity</t>
  </si>
  <si>
    <t>Each row is a buildable task (not just a feature). Promote each to a ticket; XL items should be split into subtasks during sprint planning.</t>
  </si>
  <si>
    <t>Task ID</t>
  </si>
  <si>
    <t>Stable ID per task (PHASE-NN). Use it to wire up Dependencies and reference tasks in your tracker.</t>
  </si>
  <si>
    <t>Lists the Task IDs that must ship first — gives you build order within and across phases.</t>
  </si>
  <si>
    <t>Your definition-of-done. Turn each clause into a checklist item on the ticket.</t>
  </si>
  <si>
    <t>Phases</t>
  </si>
  <si>
    <t>Foundation &amp; core-tech proof: capture, Bangla STT, code-switch, storage, privacy, backend/infra.</t>
  </si>
  <si>
    <t>First public, monetizable product: summaries, action items, search, Ask, Chrome ext, iOS, payments, sync, sharing.</t>
  </si>
  <si>
    <t>Daily-driver depth: content generation, deep search, integrations, collaboration, team plans, diarization.</t>
  </si>
  <si>
    <t>Scale &amp; intelligence: second-brain, advanced AI, healthcare/education verticals, enterprise &amp; ecosystem.</t>
  </si>
  <si>
    <t>North-Star (game-changers): Bangla dialects &amp; live interpretation, Bangla voice agent, agentic auto-actions, and always-on ambient capture with context super-modes.</t>
  </si>
  <si>
    <t>North-Star pillars (V3)</t>
  </si>
  <si>
    <t>A · Language depth</t>
  </si>
  <si>
    <t>Regional dialect STT, live Bangla&lt;-&gt;English interpretation, Bangla voice agent + TTS.</t>
  </si>
  <si>
    <t>B · Agentic actions</t>
  </si>
  <si>
    <t>Auto follow-ups, auto-scheduling, task &amp; form automation, approval-gated agent workflows.</t>
  </si>
  <si>
    <t>C · Ambient + super-modes</t>
  </si>
  <si>
    <t>Always-on ambient capture, auto-segmentation, context lenses (healthcare/education), second-brain recall.</t>
  </si>
  <si>
    <t>Persona (actor in the user story)</t>
  </si>
  <si>
    <t>End-user actions — recording, viewing, searching, sharing, paying.</t>
  </si>
  <si>
    <t>Automated / AI / background behaviour, no human trigger — transcription, summaries, sync, suggestions.</t>
  </si>
  <si>
    <t>Management &amp; org-level controls — team billing, analytics, access, compliance.</t>
  </si>
  <si>
    <t>Surfaces (where users access Doppio)</t>
  </si>
  <si>
    <t>Web portal</t>
  </si>
  <si>
    <t>The central hub — access &amp; manage everything: library, notes, search, billing, team, settings.</t>
  </si>
  <si>
    <t>Mobile apps</t>
  </si>
  <si>
    <t>Capture on the go (Android &amp; iOS) plus full access.</t>
  </si>
  <si>
    <t>Quick on/off capture for any browser meeting; deep-links into the web portal.</t>
  </si>
  <si>
    <t>Component (build layer / team)</t>
  </si>
  <si>
    <t>Android app (shared logic with iOS).</t>
  </si>
  <si>
    <t>iOS-specific app work.</t>
  </si>
  <si>
    <t>Browser extension — quick on/off capture.</t>
  </si>
  <si>
    <t>Web portal — central hub to access &amp; manage everything.</t>
  </si>
  <si>
    <t>APIs, sync, billing logic, search index.</t>
  </si>
  <si>
    <t>Bangla speech-to-text models &amp; inference.</t>
  </si>
  <si>
    <t>Summaries, Q&amp;A, content generation.</t>
  </si>
  <si>
    <t>Embeddings, diarization, other models.</t>
  </si>
  <si>
    <t>Payments</t>
  </si>
  <si>
    <t>bKash/Nagad/Rocket/card gateways.</t>
  </si>
  <si>
    <t>Cloud, CI/CD, hosting, monitoring.</t>
  </si>
  <si>
    <t>UX, copy, localization review.</t>
  </si>
  <si>
    <t>Effort (rough)</t>
  </si>
  <si>
    <t>≤ 2 days</t>
  </si>
  <si>
    <t>3–5 days</t>
  </si>
  <si>
    <t>1–2 weeks</t>
  </si>
  <si>
    <t>2+ weeks — split into subtasks</t>
  </si>
  <si>
    <t>Must-have to ship the phase.</t>
  </si>
  <si>
    <t>Should-have; strong value, fast-follow.</t>
  </si>
  <si>
    <t>Nice-to-have; opportunistic.</t>
  </si>
  <si>
    <t>Task counts</t>
  </si>
  <si>
    <t>Initial tasks</t>
  </si>
  <si>
    <t>MVP tasks</t>
  </si>
  <si>
    <t>V1 tasks</t>
  </si>
  <si>
    <t>V2 tasks</t>
  </si>
  <si>
    <t>V3 tasks</t>
  </si>
  <si>
    <t>P0 (must-have)</t>
  </si>
  <si>
    <t>Total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</si>
</sst>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6.0"/>
      <color rgb="FF0F4C5C"/>
      <name val="Arial"/>
    </font>
    <font>
      <i/>
      <sz val="10.0"/>
      <color rgb="FF555555"/>
      <name val="Arial"/>
    </font>
    <font>
      <b/>
      <sz val="10.0"/>
      <color rgb="FFFFFFFF"/>
      <name val="Arial"/>
    </font>
    <font>
      <b/>
      <sz val="9.0"/>
      <name val="Arial"/>
    </font>
    <font>
      <sz val="9.0"/>
      <name val="Arial"/>
    </font>
    <font>
      <b/>
      <sz val="9.0"/>
      <color rgb="FF1A56A8"/>
      <name val="Arial"/>
    </font>
    <font>
      <b/>
      <sz val="9.0"/>
      <color rgb="FF1E7A46"/>
      <name val="Arial"/>
    </font>
    <font>
      <b/>
      <sz val="9.0"/>
      <color rgb="FFB4530A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0F4C5C"/>
        <bgColor rgb="FF0F4C5C"/>
      </patternFill>
    </fill>
    <fill>
      <patternFill patternType="solid">
        <fgColor rgb="FFECEFF1"/>
        <bgColor rgb="FFECEFF1"/>
      </patternFill>
    </fill>
    <fill>
      <patternFill patternType="solid">
        <fgColor rgb="FFDCEFE0"/>
        <bgColor rgb="FFDCEFE0"/>
      </patternFill>
    </fill>
    <fill>
      <patternFill patternType="solid">
        <fgColor rgb="FFD6E6F5"/>
        <bgColor rgb="FFD6E6F5"/>
      </patternFill>
    </fill>
    <fill>
      <patternFill patternType="solid">
        <fgColor rgb="FFE4DCEF"/>
        <bgColor rgb="FFE4DCE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shrinkToFit="0" vertical="top" wrapText="1"/>
    </xf>
    <xf borderId="1" fillId="3" fontId="6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shrinkToFit="0" vertical="top" wrapText="1"/>
    </xf>
    <xf borderId="1" fillId="4" fontId="7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shrinkToFit="0" vertical="top" wrapText="1"/>
    </xf>
    <xf borderId="1" fillId="5" fontId="6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ont="1">
      <alignment shrinkToFit="0" vertical="top" wrapText="1"/>
    </xf>
    <xf borderId="1" fillId="6" fontId="7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ont="1">
      <alignment shrinkToFit="0" vertical="top" wrapText="1"/>
    </xf>
    <xf borderId="1" fillId="7" fontId="7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left" shrinkToFit="0" vertical="center" wrapText="0"/>
    </xf>
    <xf borderId="3" fillId="0" fontId="9" numFmtId="0" xfId="0" applyBorder="1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4" fillId="3" fontId="4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5" fontId="4" numFmtId="0" xfId="0" applyAlignment="1" applyBorder="1" applyFont="1">
      <alignment shrinkToFit="0" vertical="bottom" wrapText="0"/>
    </xf>
    <xf borderId="4" fillId="6" fontId="4" numFmtId="0" xfId="0" applyAlignment="1" applyBorder="1" applyFont="1">
      <alignment shrinkToFit="0" vertical="bottom" wrapText="0"/>
    </xf>
    <xf borderId="4" fillId="7" fontId="4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9.0"/>
    <col customWidth="1" min="2" max="2" width="8.0"/>
    <col customWidth="1" min="3" max="3" width="20.0"/>
    <col customWidth="1" min="4" max="4" width="24.0"/>
    <col customWidth="1" min="5" max="5" width="26.0"/>
    <col customWidth="1" min="6" max="6" width="40.0"/>
    <col customWidth="1" min="7" max="7" width="46.0"/>
    <col customWidth="1" min="8" max="8" width="9.0"/>
    <col customWidth="1" min="9" max="10" width="16.0"/>
    <col customWidth="1" min="11" max="11" width="14.0"/>
    <col customWidth="1" min="12" max="12" width="9.0"/>
    <col customWidth="1" min="13" max="13" width="8.0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>
      <c r="A5" s="4" t="s">
        <v>15</v>
      </c>
      <c r="B5" s="4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6" t="s">
        <v>22</v>
      </c>
      <c r="I5" s="5" t="s">
        <v>23</v>
      </c>
      <c r="J5" s="5" t="s">
        <v>24</v>
      </c>
      <c r="K5" s="5" t="s">
        <v>25</v>
      </c>
      <c r="L5" s="7" t="s">
        <v>26</v>
      </c>
      <c r="M5" s="7" t="s">
        <v>27</v>
      </c>
    </row>
    <row r="6">
      <c r="A6" s="4" t="s">
        <v>28</v>
      </c>
      <c r="B6" s="4" t="s">
        <v>16</v>
      </c>
      <c r="C6" s="5" t="s">
        <v>17</v>
      </c>
      <c r="D6" s="5" t="s">
        <v>18</v>
      </c>
      <c r="E6" s="5" t="s">
        <v>29</v>
      </c>
      <c r="F6" s="5" t="s">
        <v>30</v>
      </c>
      <c r="G6" s="5" t="s">
        <v>31</v>
      </c>
      <c r="H6" s="6" t="s">
        <v>22</v>
      </c>
      <c r="I6" s="5" t="s">
        <v>23</v>
      </c>
      <c r="J6" s="5" t="s">
        <v>24</v>
      </c>
      <c r="K6" s="5" t="s">
        <v>15</v>
      </c>
      <c r="L6" s="7" t="s">
        <v>32</v>
      </c>
      <c r="M6" s="7" t="s">
        <v>33</v>
      </c>
    </row>
    <row r="7">
      <c r="A7" s="4" t="s">
        <v>34</v>
      </c>
      <c r="B7" s="4" t="s">
        <v>16</v>
      </c>
      <c r="C7" s="5" t="s">
        <v>17</v>
      </c>
      <c r="D7" s="5" t="s">
        <v>35</v>
      </c>
      <c r="E7" s="5" t="s">
        <v>36</v>
      </c>
      <c r="F7" s="5" t="s">
        <v>37</v>
      </c>
      <c r="G7" s="5" t="s">
        <v>38</v>
      </c>
      <c r="H7" s="6" t="s">
        <v>22</v>
      </c>
      <c r="I7" s="5" t="s">
        <v>23</v>
      </c>
      <c r="J7" s="5" t="s">
        <v>39</v>
      </c>
      <c r="K7" s="5" t="s">
        <v>25</v>
      </c>
      <c r="L7" s="7" t="s">
        <v>26</v>
      </c>
      <c r="M7" s="7" t="s">
        <v>27</v>
      </c>
    </row>
    <row r="8">
      <c r="A8" s="4" t="s">
        <v>40</v>
      </c>
      <c r="B8" s="4" t="s">
        <v>16</v>
      </c>
      <c r="C8" s="5" t="s">
        <v>17</v>
      </c>
      <c r="D8" s="5" t="s">
        <v>35</v>
      </c>
      <c r="E8" s="5" t="s">
        <v>41</v>
      </c>
      <c r="F8" s="5" t="s">
        <v>42</v>
      </c>
      <c r="G8" s="5" t="s">
        <v>43</v>
      </c>
      <c r="H8" s="6" t="s">
        <v>22</v>
      </c>
      <c r="I8" s="5" t="s">
        <v>23</v>
      </c>
      <c r="J8" s="5" t="s">
        <v>44</v>
      </c>
      <c r="K8" s="5" t="s">
        <v>34</v>
      </c>
      <c r="L8" s="7" t="s">
        <v>26</v>
      </c>
      <c r="M8" s="7" t="s">
        <v>33</v>
      </c>
    </row>
    <row r="9">
      <c r="A9" s="4" t="s">
        <v>45</v>
      </c>
      <c r="B9" s="4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6" t="s">
        <v>22</v>
      </c>
      <c r="I9" s="5" t="s">
        <v>23</v>
      </c>
      <c r="J9" s="5" t="s">
        <v>50</v>
      </c>
      <c r="K9" s="5" t="s">
        <v>34</v>
      </c>
      <c r="L9" s="7" t="s">
        <v>32</v>
      </c>
      <c r="M9" s="7" t="s">
        <v>33</v>
      </c>
    </row>
    <row r="10">
      <c r="A10" s="4" t="s">
        <v>51</v>
      </c>
      <c r="B10" s="4" t="s">
        <v>16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6" t="s">
        <v>22</v>
      </c>
      <c r="I10" s="5" t="s">
        <v>57</v>
      </c>
      <c r="J10" s="5" t="s">
        <v>50</v>
      </c>
      <c r="K10" s="5" t="s">
        <v>25</v>
      </c>
      <c r="L10" s="7" t="s">
        <v>26</v>
      </c>
      <c r="M10" s="7" t="s">
        <v>27</v>
      </c>
    </row>
    <row r="11">
      <c r="A11" s="4" t="s">
        <v>58</v>
      </c>
      <c r="B11" s="4" t="s">
        <v>16</v>
      </c>
      <c r="C11" s="5" t="s">
        <v>52</v>
      </c>
      <c r="D11" s="5" t="s">
        <v>53</v>
      </c>
      <c r="E11" s="5" t="s">
        <v>59</v>
      </c>
      <c r="F11" s="5" t="s">
        <v>60</v>
      </c>
      <c r="G11" s="5" t="s">
        <v>61</v>
      </c>
      <c r="H11" s="8" t="s">
        <v>62</v>
      </c>
      <c r="I11" s="5" t="s">
        <v>23</v>
      </c>
      <c r="J11" s="5" t="s">
        <v>63</v>
      </c>
      <c r="K11" s="5" t="s">
        <v>51</v>
      </c>
      <c r="L11" s="7" t="s">
        <v>26</v>
      </c>
      <c r="M11" s="7" t="s">
        <v>27</v>
      </c>
    </row>
    <row r="12">
      <c r="A12" s="4" t="s">
        <v>64</v>
      </c>
      <c r="B12" s="4" t="s">
        <v>16</v>
      </c>
      <c r="C12" s="5" t="s">
        <v>52</v>
      </c>
      <c r="D12" s="5" t="s">
        <v>65</v>
      </c>
      <c r="E12" s="5" t="s">
        <v>66</v>
      </c>
      <c r="F12" s="5" t="s">
        <v>67</v>
      </c>
      <c r="G12" s="5" t="s">
        <v>68</v>
      </c>
      <c r="H12" s="8" t="s">
        <v>62</v>
      </c>
      <c r="I12" s="5" t="s">
        <v>23</v>
      </c>
      <c r="J12" s="5" t="s">
        <v>50</v>
      </c>
      <c r="K12" s="5" t="s">
        <v>51</v>
      </c>
      <c r="L12" s="7" t="s">
        <v>26</v>
      </c>
      <c r="M12" s="7" t="s">
        <v>69</v>
      </c>
    </row>
    <row r="13">
      <c r="A13" s="4" t="s">
        <v>70</v>
      </c>
      <c r="B13" s="4" t="s">
        <v>16</v>
      </c>
      <c r="C13" s="5" t="s">
        <v>52</v>
      </c>
      <c r="D13" s="5" t="s">
        <v>71</v>
      </c>
      <c r="E13" s="5" t="s">
        <v>72</v>
      </c>
      <c r="F13" s="5" t="s">
        <v>73</v>
      </c>
      <c r="G13" s="5" t="s">
        <v>74</v>
      </c>
      <c r="H13" s="6" t="s">
        <v>22</v>
      </c>
      <c r="I13" s="5" t="s">
        <v>23</v>
      </c>
      <c r="J13" s="5" t="s">
        <v>50</v>
      </c>
      <c r="K13" s="5" t="s">
        <v>51</v>
      </c>
      <c r="L13" s="7" t="s">
        <v>32</v>
      </c>
      <c r="M13" s="7" t="s">
        <v>33</v>
      </c>
    </row>
    <row r="14">
      <c r="A14" s="4" t="s">
        <v>75</v>
      </c>
      <c r="B14" s="4" t="s">
        <v>16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80</v>
      </c>
      <c r="H14" s="8" t="s">
        <v>62</v>
      </c>
      <c r="I14" s="5" t="s">
        <v>23</v>
      </c>
      <c r="J14" s="5" t="s">
        <v>81</v>
      </c>
      <c r="K14" s="5" t="s">
        <v>25</v>
      </c>
      <c r="L14" s="7" t="s">
        <v>26</v>
      </c>
      <c r="M14" s="7" t="s">
        <v>82</v>
      </c>
    </row>
    <row r="15">
      <c r="A15" s="4" t="s">
        <v>83</v>
      </c>
      <c r="B15" s="4" t="s">
        <v>16</v>
      </c>
      <c r="C15" s="5" t="s">
        <v>76</v>
      </c>
      <c r="D15" s="5" t="s">
        <v>77</v>
      </c>
      <c r="E15" s="5" t="s">
        <v>84</v>
      </c>
      <c r="F15" s="5" t="s">
        <v>85</v>
      </c>
      <c r="G15" s="5" t="s">
        <v>86</v>
      </c>
      <c r="H15" s="8" t="s">
        <v>62</v>
      </c>
      <c r="I15" s="5" t="s">
        <v>23</v>
      </c>
      <c r="J15" s="5" t="s">
        <v>87</v>
      </c>
      <c r="K15" s="5" t="s">
        <v>75</v>
      </c>
      <c r="L15" s="7" t="s">
        <v>26</v>
      </c>
      <c r="M15" s="7" t="s">
        <v>82</v>
      </c>
    </row>
    <row r="16">
      <c r="A16" s="4" t="s">
        <v>88</v>
      </c>
      <c r="B16" s="4" t="s">
        <v>16</v>
      </c>
      <c r="C16" s="5" t="s">
        <v>76</v>
      </c>
      <c r="D16" s="5" t="s">
        <v>77</v>
      </c>
      <c r="E16" s="5" t="s">
        <v>89</v>
      </c>
      <c r="F16" s="5" t="s">
        <v>90</v>
      </c>
      <c r="G16" s="5" t="s">
        <v>91</v>
      </c>
      <c r="H16" s="8" t="s">
        <v>62</v>
      </c>
      <c r="I16" s="5" t="s">
        <v>23</v>
      </c>
      <c r="J16" s="5" t="s">
        <v>81</v>
      </c>
      <c r="K16" s="5" t="s">
        <v>83</v>
      </c>
      <c r="L16" s="7" t="s">
        <v>32</v>
      </c>
      <c r="M16" s="7" t="s">
        <v>69</v>
      </c>
    </row>
    <row r="17">
      <c r="A17" s="4" t="s">
        <v>92</v>
      </c>
      <c r="B17" s="4" t="s">
        <v>16</v>
      </c>
      <c r="C17" s="5" t="s">
        <v>76</v>
      </c>
      <c r="D17" s="5" t="s">
        <v>93</v>
      </c>
      <c r="E17" s="5" t="s">
        <v>94</v>
      </c>
      <c r="F17" s="5" t="s">
        <v>95</v>
      </c>
      <c r="G17" s="5" t="s">
        <v>96</v>
      </c>
      <c r="H17" s="8" t="s">
        <v>62</v>
      </c>
      <c r="I17" s="5" t="s">
        <v>97</v>
      </c>
      <c r="J17" s="5" t="s">
        <v>81</v>
      </c>
      <c r="K17" s="5" t="s">
        <v>83</v>
      </c>
      <c r="L17" s="7" t="s">
        <v>26</v>
      </c>
      <c r="M17" s="7" t="s">
        <v>69</v>
      </c>
    </row>
    <row r="18">
      <c r="A18" s="4" t="s">
        <v>98</v>
      </c>
      <c r="B18" s="4" t="s">
        <v>16</v>
      </c>
      <c r="C18" s="5" t="s">
        <v>76</v>
      </c>
      <c r="D18" s="5" t="s">
        <v>99</v>
      </c>
      <c r="E18" s="5" t="s">
        <v>100</v>
      </c>
      <c r="F18" s="5" t="s">
        <v>101</v>
      </c>
      <c r="G18" s="5" t="s">
        <v>102</v>
      </c>
      <c r="H18" s="8" t="s">
        <v>62</v>
      </c>
      <c r="I18" s="5" t="s">
        <v>23</v>
      </c>
      <c r="J18" s="5" t="s">
        <v>103</v>
      </c>
      <c r="K18" s="5" t="s">
        <v>104</v>
      </c>
      <c r="L18" s="7" t="s">
        <v>26</v>
      </c>
      <c r="M18" s="7" t="s">
        <v>27</v>
      </c>
    </row>
    <row r="19">
      <c r="A19" s="4" t="s">
        <v>105</v>
      </c>
      <c r="B19" s="4" t="s">
        <v>16</v>
      </c>
      <c r="C19" s="5" t="s">
        <v>76</v>
      </c>
      <c r="D19" s="5" t="s">
        <v>106</v>
      </c>
      <c r="E19" s="5" t="s">
        <v>107</v>
      </c>
      <c r="F19" s="5" t="s">
        <v>108</v>
      </c>
      <c r="G19" s="5" t="s">
        <v>109</v>
      </c>
      <c r="H19" s="6" t="s">
        <v>22</v>
      </c>
      <c r="I19" s="5" t="s">
        <v>23</v>
      </c>
      <c r="J19" s="5" t="s">
        <v>50</v>
      </c>
      <c r="K19" s="5" t="s">
        <v>83</v>
      </c>
      <c r="L19" s="7" t="s">
        <v>32</v>
      </c>
      <c r="M19" s="7" t="s">
        <v>27</v>
      </c>
    </row>
    <row r="20">
      <c r="A20" s="4" t="s">
        <v>110</v>
      </c>
      <c r="B20" s="4" t="s">
        <v>16</v>
      </c>
      <c r="C20" s="5" t="s">
        <v>111</v>
      </c>
      <c r="D20" s="5" t="s">
        <v>112</v>
      </c>
      <c r="E20" s="5" t="s">
        <v>113</v>
      </c>
      <c r="F20" s="5" t="s">
        <v>114</v>
      </c>
      <c r="G20" s="5" t="s">
        <v>115</v>
      </c>
      <c r="H20" s="8" t="s">
        <v>62</v>
      </c>
      <c r="I20" s="5" t="s">
        <v>23</v>
      </c>
      <c r="J20" s="5" t="s">
        <v>50</v>
      </c>
      <c r="K20" s="5" t="s">
        <v>25</v>
      </c>
      <c r="L20" s="7" t="s">
        <v>26</v>
      </c>
      <c r="M20" s="7" t="s">
        <v>27</v>
      </c>
    </row>
    <row r="21" ht="15.75" customHeight="1">
      <c r="A21" s="4" t="s">
        <v>116</v>
      </c>
      <c r="B21" s="4" t="s">
        <v>16</v>
      </c>
      <c r="C21" s="5" t="s">
        <v>111</v>
      </c>
      <c r="D21" s="5" t="s">
        <v>117</v>
      </c>
      <c r="E21" s="5" t="s">
        <v>118</v>
      </c>
      <c r="F21" s="5" t="s">
        <v>119</v>
      </c>
      <c r="G21" s="5" t="s">
        <v>120</v>
      </c>
      <c r="H21" s="6" t="s">
        <v>22</v>
      </c>
      <c r="I21" s="5" t="s">
        <v>23</v>
      </c>
      <c r="J21" s="5" t="s">
        <v>50</v>
      </c>
      <c r="K21" s="5" t="s">
        <v>110</v>
      </c>
      <c r="L21" s="7" t="s">
        <v>26</v>
      </c>
      <c r="M21" s="7" t="s">
        <v>27</v>
      </c>
    </row>
    <row r="22" ht="15.75" customHeight="1">
      <c r="A22" s="4" t="s">
        <v>121</v>
      </c>
      <c r="B22" s="4" t="s">
        <v>16</v>
      </c>
      <c r="C22" s="5" t="s">
        <v>111</v>
      </c>
      <c r="D22" s="5" t="s">
        <v>117</v>
      </c>
      <c r="E22" s="5" t="s">
        <v>122</v>
      </c>
      <c r="F22" s="5" t="s">
        <v>123</v>
      </c>
      <c r="G22" s="5" t="s">
        <v>124</v>
      </c>
      <c r="H22" s="6" t="s">
        <v>22</v>
      </c>
      <c r="I22" s="5" t="s">
        <v>23</v>
      </c>
      <c r="J22" s="5" t="s">
        <v>50</v>
      </c>
      <c r="K22" s="5" t="s">
        <v>116</v>
      </c>
      <c r="L22" s="7" t="s">
        <v>32</v>
      </c>
      <c r="M22" s="7" t="s">
        <v>33</v>
      </c>
    </row>
    <row r="23" ht="15.75" customHeight="1">
      <c r="A23" s="4" t="s">
        <v>125</v>
      </c>
      <c r="B23" s="4" t="s">
        <v>16</v>
      </c>
      <c r="C23" s="5" t="s">
        <v>126</v>
      </c>
      <c r="D23" s="5" t="s">
        <v>127</v>
      </c>
      <c r="E23" s="5" t="s">
        <v>128</v>
      </c>
      <c r="F23" s="5" t="s">
        <v>129</v>
      </c>
      <c r="G23" s="5" t="s">
        <v>130</v>
      </c>
      <c r="H23" s="8" t="s">
        <v>62</v>
      </c>
      <c r="I23" s="5" t="s">
        <v>131</v>
      </c>
      <c r="J23" s="5" t="s">
        <v>132</v>
      </c>
      <c r="K23" s="5" t="s">
        <v>133</v>
      </c>
      <c r="L23" s="7" t="s">
        <v>26</v>
      </c>
      <c r="M23" s="7" t="s">
        <v>27</v>
      </c>
    </row>
    <row r="24" ht="15.75" customHeight="1">
      <c r="A24" s="4" t="s">
        <v>134</v>
      </c>
      <c r="B24" s="4" t="s">
        <v>16</v>
      </c>
      <c r="C24" s="5" t="s">
        <v>135</v>
      </c>
      <c r="D24" s="5" t="s">
        <v>136</v>
      </c>
      <c r="E24" s="5" t="s">
        <v>137</v>
      </c>
      <c r="F24" s="5" t="s">
        <v>138</v>
      </c>
      <c r="G24" s="5" t="s">
        <v>139</v>
      </c>
      <c r="H24" s="8" t="s">
        <v>62</v>
      </c>
      <c r="I24" s="5" t="s">
        <v>23</v>
      </c>
      <c r="J24" s="5" t="s">
        <v>140</v>
      </c>
      <c r="K24" s="5" t="s">
        <v>25</v>
      </c>
      <c r="L24" s="7" t="s">
        <v>26</v>
      </c>
      <c r="M24" s="7" t="s">
        <v>69</v>
      </c>
    </row>
    <row r="25" ht="15.75" customHeight="1">
      <c r="A25" s="4" t="s">
        <v>141</v>
      </c>
      <c r="B25" s="4" t="s">
        <v>16</v>
      </c>
      <c r="C25" s="5" t="s">
        <v>135</v>
      </c>
      <c r="D25" s="5" t="s">
        <v>142</v>
      </c>
      <c r="E25" s="5" t="s">
        <v>143</v>
      </c>
      <c r="F25" s="5" t="s">
        <v>144</v>
      </c>
      <c r="G25" s="5" t="s">
        <v>145</v>
      </c>
      <c r="H25" s="8" t="s">
        <v>62</v>
      </c>
      <c r="I25" s="5" t="s">
        <v>23</v>
      </c>
      <c r="J25" s="5" t="s">
        <v>146</v>
      </c>
      <c r="K25" s="5" t="s">
        <v>25</v>
      </c>
      <c r="L25" s="7" t="s">
        <v>26</v>
      </c>
      <c r="M25" s="7" t="s">
        <v>69</v>
      </c>
    </row>
    <row r="26" ht="15.75" customHeight="1">
      <c r="A26" s="9" t="s">
        <v>147</v>
      </c>
      <c r="B26" s="9" t="s">
        <v>148</v>
      </c>
      <c r="C26" s="10" t="s">
        <v>149</v>
      </c>
      <c r="D26" s="10" t="s">
        <v>150</v>
      </c>
      <c r="E26" s="10" t="s">
        <v>151</v>
      </c>
      <c r="F26" s="10" t="s">
        <v>152</v>
      </c>
      <c r="G26" s="10" t="s">
        <v>153</v>
      </c>
      <c r="H26" s="11" t="s">
        <v>62</v>
      </c>
      <c r="I26" s="10" t="s">
        <v>97</v>
      </c>
      <c r="J26" s="10" t="s">
        <v>154</v>
      </c>
      <c r="K26" s="10" t="s">
        <v>83</v>
      </c>
      <c r="L26" s="12" t="s">
        <v>26</v>
      </c>
      <c r="M26" s="12" t="s">
        <v>69</v>
      </c>
    </row>
    <row r="27" ht="15.75" customHeight="1">
      <c r="A27" s="9" t="s">
        <v>155</v>
      </c>
      <c r="B27" s="9" t="s">
        <v>148</v>
      </c>
      <c r="C27" s="10" t="s">
        <v>149</v>
      </c>
      <c r="D27" s="10" t="s">
        <v>150</v>
      </c>
      <c r="E27" s="10" t="s">
        <v>156</v>
      </c>
      <c r="F27" s="10" t="s">
        <v>157</v>
      </c>
      <c r="G27" s="10" t="s">
        <v>158</v>
      </c>
      <c r="H27" s="11" t="s">
        <v>62</v>
      </c>
      <c r="I27" s="10" t="s">
        <v>23</v>
      </c>
      <c r="J27" s="10" t="s">
        <v>159</v>
      </c>
      <c r="K27" s="10" t="s">
        <v>147</v>
      </c>
      <c r="L27" s="12" t="s">
        <v>26</v>
      </c>
      <c r="M27" s="12" t="s">
        <v>27</v>
      </c>
    </row>
    <row r="28" ht="15.75" customHeight="1">
      <c r="A28" s="9" t="s">
        <v>160</v>
      </c>
      <c r="B28" s="9" t="s">
        <v>148</v>
      </c>
      <c r="C28" s="10" t="s">
        <v>149</v>
      </c>
      <c r="D28" s="10" t="s">
        <v>150</v>
      </c>
      <c r="E28" s="10" t="s">
        <v>161</v>
      </c>
      <c r="F28" s="10" t="s">
        <v>162</v>
      </c>
      <c r="G28" s="10" t="s">
        <v>163</v>
      </c>
      <c r="H28" s="13" t="s">
        <v>22</v>
      </c>
      <c r="I28" s="10" t="s">
        <v>23</v>
      </c>
      <c r="J28" s="10" t="s">
        <v>39</v>
      </c>
      <c r="K28" s="10" t="s">
        <v>147</v>
      </c>
      <c r="L28" s="12" t="s">
        <v>32</v>
      </c>
      <c r="M28" s="12" t="s">
        <v>33</v>
      </c>
    </row>
    <row r="29" ht="15.75" customHeight="1">
      <c r="A29" s="9" t="s">
        <v>164</v>
      </c>
      <c r="B29" s="9" t="s">
        <v>148</v>
      </c>
      <c r="C29" s="10" t="s">
        <v>149</v>
      </c>
      <c r="D29" s="10" t="s">
        <v>165</v>
      </c>
      <c r="E29" s="10" t="s">
        <v>166</v>
      </c>
      <c r="F29" s="10" t="s">
        <v>167</v>
      </c>
      <c r="G29" s="10" t="s">
        <v>168</v>
      </c>
      <c r="H29" s="11" t="s">
        <v>62</v>
      </c>
      <c r="I29" s="10" t="s">
        <v>169</v>
      </c>
      <c r="J29" s="10" t="s">
        <v>159</v>
      </c>
      <c r="K29" s="10" t="s">
        <v>147</v>
      </c>
      <c r="L29" s="12" t="s">
        <v>26</v>
      </c>
      <c r="M29" s="12" t="s">
        <v>27</v>
      </c>
    </row>
    <row r="30" ht="15.75" customHeight="1">
      <c r="A30" s="9" t="s">
        <v>170</v>
      </c>
      <c r="B30" s="9" t="s">
        <v>148</v>
      </c>
      <c r="C30" s="10" t="s">
        <v>149</v>
      </c>
      <c r="D30" s="10" t="s">
        <v>165</v>
      </c>
      <c r="E30" s="10" t="s">
        <v>171</v>
      </c>
      <c r="F30" s="10" t="s">
        <v>172</v>
      </c>
      <c r="G30" s="10" t="s">
        <v>173</v>
      </c>
      <c r="H30" s="13" t="s">
        <v>22</v>
      </c>
      <c r="I30" s="10" t="s">
        <v>169</v>
      </c>
      <c r="J30" s="10" t="s">
        <v>50</v>
      </c>
      <c r="K30" s="10" t="s">
        <v>164</v>
      </c>
      <c r="L30" s="12" t="s">
        <v>32</v>
      </c>
      <c r="M30" s="12" t="s">
        <v>27</v>
      </c>
    </row>
    <row r="31" ht="15.75" customHeight="1">
      <c r="A31" s="9" t="s">
        <v>174</v>
      </c>
      <c r="B31" s="9" t="s">
        <v>148</v>
      </c>
      <c r="C31" s="10" t="s">
        <v>149</v>
      </c>
      <c r="D31" s="10" t="s">
        <v>175</v>
      </c>
      <c r="E31" s="10" t="s">
        <v>176</v>
      </c>
      <c r="F31" s="10" t="s">
        <v>177</v>
      </c>
      <c r="G31" s="10" t="s">
        <v>178</v>
      </c>
      <c r="H31" s="13" t="s">
        <v>22</v>
      </c>
      <c r="I31" s="10" t="s">
        <v>179</v>
      </c>
      <c r="J31" s="10" t="s">
        <v>50</v>
      </c>
      <c r="K31" s="10" t="s">
        <v>105</v>
      </c>
      <c r="L31" s="12" t="s">
        <v>32</v>
      </c>
      <c r="M31" s="12" t="s">
        <v>27</v>
      </c>
    </row>
    <row r="32" ht="15.75" customHeight="1">
      <c r="A32" s="9" t="s">
        <v>180</v>
      </c>
      <c r="B32" s="9" t="s">
        <v>148</v>
      </c>
      <c r="C32" s="10" t="s">
        <v>149</v>
      </c>
      <c r="D32" s="10" t="s">
        <v>181</v>
      </c>
      <c r="E32" s="10" t="s">
        <v>182</v>
      </c>
      <c r="F32" s="10" t="s">
        <v>183</v>
      </c>
      <c r="G32" s="10" t="s">
        <v>184</v>
      </c>
      <c r="H32" s="11" t="s">
        <v>62</v>
      </c>
      <c r="I32" s="10" t="s">
        <v>23</v>
      </c>
      <c r="J32" s="10" t="s">
        <v>159</v>
      </c>
      <c r="K32" s="10" t="s">
        <v>147</v>
      </c>
      <c r="L32" s="12" t="s">
        <v>32</v>
      </c>
      <c r="M32" s="12" t="s">
        <v>33</v>
      </c>
    </row>
    <row r="33" ht="15.75" customHeight="1">
      <c r="A33" s="9" t="s">
        <v>185</v>
      </c>
      <c r="B33" s="9" t="s">
        <v>148</v>
      </c>
      <c r="C33" s="10" t="s">
        <v>186</v>
      </c>
      <c r="D33" s="10" t="s">
        <v>187</v>
      </c>
      <c r="E33" s="10" t="s">
        <v>188</v>
      </c>
      <c r="F33" s="10" t="s">
        <v>189</v>
      </c>
      <c r="G33" s="10" t="s">
        <v>190</v>
      </c>
      <c r="H33" s="13" t="s">
        <v>22</v>
      </c>
      <c r="I33" s="10" t="s">
        <v>191</v>
      </c>
      <c r="J33" s="10" t="s">
        <v>192</v>
      </c>
      <c r="K33" s="10" t="s">
        <v>116</v>
      </c>
      <c r="L33" s="12" t="s">
        <v>26</v>
      </c>
      <c r="M33" s="12" t="s">
        <v>27</v>
      </c>
    </row>
    <row r="34" ht="15.75" customHeight="1">
      <c r="A34" s="9" t="s">
        <v>193</v>
      </c>
      <c r="B34" s="9" t="s">
        <v>148</v>
      </c>
      <c r="C34" s="10" t="s">
        <v>186</v>
      </c>
      <c r="D34" s="10" t="s">
        <v>187</v>
      </c>
      <c r="E34" s="10" t="s">
        <v>194</v>
      </c>
      <c r="F34" s="10" t="s">
        <v>195</v>
      </c>
      <c r="G34" s="10" t="s">
        <v>196</v>
      </c>
      <c r="H34" s="13" t="s">
        <v>22</v>
      </c>
      <c r="I34" s="10" t="s">
        <v>23</v>
      </c>
      <c r="J34" s="10" t="s">
        <v>39</v>
      </c>
      <c r="K34" s="10" t="s">
        <v>185</v>
      </c>
      <c r="L34" s="12" t="s">
        <v>32</v>
      </c>
      <c r="M34" s="12" t="s">
        <v>33</v>
      </c>
    </row>
    <row r="35" ht="15.75" customHeight="1">
      <c r="A35" s="9" t="s">
        <v>197</v>
      </c>
      <c r="B35" s="9" t="s">
        <v>148</v>
      </c>
      <c r="C35" s="10" t="s">
        <v>186</v>
      </c>
      <c r="D35" s="10" t="s">
        <v>198</v>
      </c>
      <c r="E35" s="10" t="s">
        <v>199</v>
      </c>
      <c r="F35" s="10" t="s">
        <v>200</v>
      </c>
      <c r="G35" s="10" t="s">
        <v>201</v>
      </c>
      <c r="H35" s="13" t="s">
        <v>22</v>
      </c>
      <c r="I35" s="10" t="s">
        <v>23</v>
      </c>
      <c r="J35" s="10" t="s">
        <v>154</v>
      </c>
      <c r="K35" s="10" t="s">
        <v>147</v>
      </c>
      <c r="L35" s="12" t="s">
        <v>26</v>
      </c>
      <c r="M35" s="12" t="s">
        <v>69</v>
      </c>
    </row>
    <row r="36" ht="15.75" customHeight="1">
      <c r="A36" s="9" t="s">
        <v>202</v>
      </c>
      <c r="B36" s="9" t="s">
        <v>148</v>
      </c>
      <c r="C36" s="10" t="s">
        <v>186</v>
      </c>
      <c r="D36" s="10" t="s">
        <v>198</v>
      </c>
      <c r="E36" s="10" t="s">
        <v>203</v>
      </c>
      <c r="F36" s="10" t="s">
        <v>204</v>
      </c>
      <c r="G36" s="10" t="s">
        <v>205</v>
      </c>
      <c r="H36" s="13" t="s">
        <v>22</v>
      </c>
      <c r="I36" s="10" t="s">
        <v>23</v>
      </c>
      <c r="J36" s="10" t="s">
        <v>39</v>
      </c>
      <c r="K36" s="10" t="s">
        <v>197</v>
      </c>
      <c r="L36" s="12" t="s">
        <v>32</v>
      </c>
      <c r="M36" s="12" t="s">
        <v>27</v>
      </c>
    </row>
    <row r="37" ht="15.75" customHeight="1">
      <c r="A37" s="9" t="s">
        <v>206</v>
      </c>
      <c r="B37" s="9" t="s">
        <v>148</v>
      </c>
      <c r="C37" s="10" t="s">
        <v>207</v>
      </c>
      <c r="D37" s="10" t="s">
        <v>208</v>
      </c>
      <c r="E37" s="10" t="s">
        <v>209</v>
      </c>
      <c r="F37" s="10" t="s">
        <v>210</v>
      </c>
      <c r="G37" s="10" t="s">
        <v>211</v>
      </c>
      <c r="H37" s="13" t="s">
        <v>22</v>
      </c>
      <c r="I37" s="10" t="s">
        <v>169</v>
      </c>
      <c r="J37" s="10" t="s">
        <v>212</v>
      </c>
      <c r="K37" s="10" t="s">
        <v>58</v>
      </c>
      <c r="L37" s="12" t="s">
        <v>26</v>
      </c>
      <c r="M37" s="12" t="s">
        <v>69</v>
      </c>
    </row>
    <row r="38" ht="15.75" customHeight="1">
      <c r="A38" s="9" t="s">
        <v>213</v>
      </c>
      <c r="B38" s="9" t="s">
        <v>148</v>
      </c>
      <c r="C38" s="10" t="s">
        <v>207</v>
      </c>
      <c r="D38" s="10" t="s">
        <v>208</v>
      </c>
      <c r="E38" s="10" t="s">
        <v>214</v>
      </c>
      <c r="F38" s="10" t="s">
        <v>215</v>
      </c>
      <c r="G38" s="10" t="s">
        <v>216</v>
      </c>
      <c r="H38" s="13" t="s">
        <v>22</v>
      </c>
      <c r="I38" s="10" t="s">
        <v>169</v>
      </c>
      <c r="J38" s="10" t="s">
        <v>212</v>
      </c>
      <c r="K38" s="10" t="s">
        <v>217</v>
      </c>
      <c r="L38" s="12" t="s">
        <v>26</v>
      </c>
      <c r="M38" s="12" t="s">
        <v>27</v>
      </c>
    </row>
    <row r="39" ht="15.75" customHeight="1">
      <c r="A39" s="9" t="s">
        <v>218</v>
      </c>
      <c r="B39" s="9" t="s">
        <v>148</v>
      </c>
      <c r="C39" s="10" t="s">
        <v>207</v>
      </c>
      <c r="D39" s="10" t="s">
        <v>219</v>
      </c>
      <c r="E39" s="10" t="s">
        <v>220</v>
      </c>
      <c r="F39" s="10" t="s">
        <v>221</v>
      </c>
      <c r="G39" s="10" t="s">
        <v>222</v>
      </c>
      <c r="H39" s="13" t="s">
        <v>22</v>
      </c>
      <c r="I39" s="10" t="s">
        <v>191</v>
      </c>
      <c r="J39" s="10" t="s">
        <v>50</v>
      </c>
      <c r="K39" s="10" t="s">
        <v>51</v>
      </c>
      <c r="L39" s="12" t="s">
        <v>32</v>
      </c>
      <c r="M39" s="12" t="s">
        <v>33</v>
      </c>
    </row>
    <row r="40" ht="15.75" customHeight="1">
      <c r="A40" s="9" t="s">
        <v>223</v>
      </c>
      <c r="B40" s="9" t="s">
        <v>148</v>
      </c>
      <c r="C40" s="10" t="s">
        <v>224</v>
      </c>
      <c r="D40" s="10" t="s">
        <v>225</v>
      </c>
      <c r="E40" s="10" t="s">
        <v>226</v>
      </c>
      <c r="F40" s="10" t="s">
        <v>227</v>
      </c>
      <c r="G40" s="10" t="s">
        <v>228</v>
      </c>
      <c r="H40" s="11" t="s">
        <v>62</v>
      </c>
      <c r="I40" s="10" t="s">
        <v>23</v>
      </c>
      <c r="J40" s="10" t="s">
        <v>192</v>
      </c>
      <c r="K40" s="10" t="s">
        <v>134</v>
      </c>
      <c r="L40" s="12" t="s">
        <v>26</v>
      </c>
      <c r="M40" s="12" t="s">
        <v>27</v>
      </c>
    </row>
    <row r="41" ht="15.75" customHeight="1">
      <c r="A41" s="9" t="s">
        <v>229</v>
      </c>
      <c r="B41" s="9" t="s">
        <v>148</v>
      </c>
      <c r="C41" s="10" t="s">
        <v>224</v>
      </c>
      <c r="D41" s="10" t="s">
        <v>230</v>
      </c>
      <c r="E41" s="10" t="s">
        <v>231</v>
      </c>
      <c r="F41" s="10" t="s">
        <v>232</v>
      </c>
      <c r="G41" s="10" t="s">
        <v>233</v>
      </c>
      <c r="H41" s="11" t="s">
        <v>62</v>
      </c>
      <c r="I41" s="10" t="s">
        <v>23</v>
      </c>
      <c r="J41" s="10" t="s">
        <v>192</v>
      </c>
      <c r="K41" s="10" t="s">
        <v>223</v>
      </c>
      <c r="L41" s="12" t="s">
        <v>26</v>
      </c>
      <c r="M41" s="12" t="s">
        <v>27</v>
      </c>
    </row>
    <row r="42" ht="15.75" customHeight="1">
      <c r="A42" s="9" t="s">
        <v>234</v>
      </c>
      <c r="B42" s="9" t="s">
        <v>148</v>
      </c>
      <c r="C42" s="10" t="s">
        <v>224</v>
      </c>
      <c r="D42" s="10" t="s">
        <v>235</v>
      </c>
      <c r="E42" s="10" t="s">
        <v>236</v>
      </c>
      <c r="F42" s="10" t="s">
        <v>237</v>
      </c>
      <c r="G42" s="10" t="s">
        <v>238</v>
      </c>
      <c r="H42" s="13" t="s">
        <v>22</v>
      </c>
      <c r="I42" s="10" t="s">
        <v>23</v>
      </c>
      <c r="J42" s="10" t="s">
        <v>239</v>
      </c>
      <c r="K42" s="10" t="s">
        <v>229</v>
      </c>
      <c r="L42" s="12" t="s">
        <v>26</v>
      </c>
      <c r="M42" s="12" t="s">
        <v>69</v>
      </c>
    </row>
    <row r="43" ht="15.75" customHeight="1">
      <c r="A43" s="9" t="s">
        <v>240</v>
      </c>
      <c r="B43" s="9" t="s">
        <v>148</v>
      </c>
      <c r="C43" s="10" t="s">
        <v>224</v>
      </c>
      <c r="D43" s="10" t="s">
        <v>235</v>
      </c>
      <c r="E43" s="10" t="s">
        <v>241</v>
      </c>
      <c r="F43" s="10" t="s">
        <v>242</v>
      </c>
      <c r="G43" s="10" t="s">
        <v>243</v>
      </c>
      <c r="H43" s="13" t="s">
        <v>22</v>
      </c>
      <c r="I43" s="10" t="s">
        <v>23</v>
      </c>
      <c r="J43" s="10" t="s">
        <v>239</v>
      </c>
      <c r="K43" s="10" t="s">
        <v>234</v>
      </c>
      <c r="L43" s="12" t="s">
        <v>32</v>
      </c>
      <c r="M43" s="12" t="s">
        <v>27</v>
      </c>
    </row>
    <row r="44" ht="15.75" customHeight="1">
      <c r="A44" s="9" t="s">
        <v>244</v>
      </c>
      <c r="B44" s="9" t="s">
        <v>148</v>
      </c>
      <c r="C44" s="10" t="s">
        <v>224</v>
      </c>
      <c r="D44" s="10" t="s">
        <v>245</v>
      </c>
      <c r="E44" s="10" t="s">
        <v>246</v>
      </c>
      <c r="F44" s="10" t="s">
        <v>247</v>
      </c>
      <c r="G44" s="10" t="s">
        <v>248</v>
      </c>
      <c r="H44" s="13" t="s">
        <v>22</v>
      </c>
      <c r="I44" s="10" t="s">
        <v>23</v>
      </c>
      <c r="J44" s="10" t="s">
        <v>50</v>
      </c>
      <c r="K44" s="10" t="s">
        <v>229</v>
      </c>
      <c r="L44" s="12" t="s">
        <v>32</v>
      </c>
      <c r="M44" s="12" t="s">
        <v>27</v>
      </c>
    </row>
    <row r="45" ht="15.75" customHeight="1">
      <c r="A45" s="9" t="s">
        <v>249</v>
      </c>
      <c r="B45" s="9" t="s">
        <v>148</v>
      </c>
      <c r="C45" s="10" t="s">
        <v>250</v>
      </c>
      <c r="D45" s="10" t="s">
        <v>251</v>
      </c>
      <c r="E45" s="10" t="s">
        <v>252</v>
      </c>
      <c r="F45" s="10" t="s">
        <v>253</v>
      </c>
      <c r="G45" s="10" t="s">
        <v>254</v>
      </c>
      <c r="H45" s="11" t="s">
        <v>62</v>
      </c>
      <c r="I45" s="10" t="s">
        <v>169</v>
      </c>
      <c r="J45" s="10" t="s">
        <v>192</v>
      </c>
      <c r="K45" s="10" t="s">
        <v>255</v>
      </c>
      <c r="L45" s="12" t="s">
        <v>26</v>
      </c>
      <c r="M45" s="12" t="s">
        <v>69</v>
      </c>
    </row>
    <row r="46" ht="15.75" customHeight="1">
      <c r="A46" s="9" t="s">
        <v>256</v>
      </c>
      <c r="B46" s="9" t="s">
        <v>148</v>
      </c>
      <c r="C46" s="10" t="s">
        <v>250</v>
      </c>
      <c r="D46" s="10" t="s">
        <v>257</v>
      </c>
      <c r="E46" s="10" t="s">
        <v>258</v>
      </c>
      <c r="F46" s="10" t="s">
        <v>259</v>
      </c>
      <c r="G46" s="10" t="s">
        <v>260</v>
      </c>
      <c r="H46" s="13" t="s">
        <v>22</v>
      </c>
      <c r="I46" s="10" t="s">
        <v>23</v>
      </c>
      <c r="J46" s="10" t="s">
        <v>261</v>
      </c>
      <c r="K46" s="10" t="s">
        <v>262</v>
      </c>
      <c r="L46" s="12" t="s">
        <v>26</v>
      </c>
      <c r="M46" s="12" t="s">
        <v>82</v>
      </c>
    </row>
    <row r="47" ht="15.75" customHeight="1">
      <c r="A47" s="9" t="s">
        <v>263</v>
      </c>
      <c r="B47" s="9" t="s">
        <v>148</v>
      </c>
      <c r="C47" s="10" t="s">
        <v>250</v>
      </c>
      <c r="D47" s="10" t="s">
        <v>264</v>
      </c>
      <c r="E47" s="10" t="s">
        <v>265</v>
      </c>
      <c r="F47" s="10" t="s">
        <v>266</v>
      </c>
      <c r="G47" s="10" t="s">
        <v>267</v>
      </c>
      <c r="H47" s="13" t="s">
        <v>22</v>
      </c>
      <c r="I47" s="10" t="s">
        <v>23</v>
      </c>
      <c r="J47" s="10" t="s">
        <v>24</v>
      </c>
      <c r="K47" s="10" t="s">
        <v>249</v>
      </c>
      <c r="L47" s="12" t="s">
        <v>32</v>
      </c>
      <c r="M47" s="12" t="s">
        <v>27</v>
      </c>
    </row>
    <row r="48" ht="15.75" customHeight="1">
      <c r="A48" s="9" t="s">
        <v>268</v>
      </c>
      <c r="B48" s="9" t="s">
        <v>148</v>
      </c>
      <c r="C48" s="10" t="s">
        <v>269</v>
      </c>
      <c r="D48" s="10" t="s">
        <v>270</v>
      </c>
      <c r="E48" s="10" t="s">
        <v>271</v>
      </c>
      <c r="F48" s="10" t="s">
        <v>272</v>
      </c>
      <c r="G48" s="10" t="s">
        <v>273</v>
      </c>
      <c r="H48" s="13" t="s">
        <v>22</v>
      </c>
      <c r="I48" s="10" t="s">
        <v>169</v>
      </c>
      <c r="J48" s="10" t="s">
        <v>63</v>
      </c>
      <c r="K48" s="10" t="s">
        <v>147</v>
      </c>
      <c r="L48" s="12" t="s">
        <v>26</v>
      </c>
      <c r="M48" s="12" t="s">
        <v>33</v>
      </c>
    </row>
    <row r="49" ht="15.75" customHeight="1">
      <c r="A49" s="9" t="s">
        <v>274</v>
      </c>
      <c r="B49" s="9" t="s">
        <v>148</v>
      </c>
      <c r="C49" s="10" t="s">
        <v>269</v>
      </c>
      <c r="D49" s="10" t="s">
        <v>275</v>
      </c>
      <c r="E49" s="10" t="s">
        <v>276</v>
      </c>
      <c r="F49" s="10" t="s">
        <v>277</v>
      </c>
      <c r="G49" s="10" t="s">
        <v>278</v>
      </c>
      <c r="H49" s="13" t="s">
        <v>22</v>
      </c>
      <c r="I49" s="10" t="s">
        <v>191</v>
      </c>
      <c r="J49" s="10" t="s">
        <v>63</v>
      </c>
      <c r="K49" s="10" t="s">
        <v>147</v>
      </c>
      <c r="L49" s="12" t="s">
        <v>32</v>
      </c>
      <c r="M49" s="12" t="s">
        <v>27</v>
      </c>
    </row>
    <row r="50" ht="15.75" customHeight="1">
      <c r="A50" s="9" t="s">
        <v>279</v>
      </c>
      <c r="B50" s="9" t="s">
        <v>148</v>
      </c>
      <c r="C50" s="10" t="s">
        <v>280</v>
      </c>
      <c r="D50" s="10" t="s">
        <v>281</v>
      </c>
      <c r="E50" s="10" t="s">
        <v>282</v>
      </c>
      <c r="F50" s="10" t="s">
        <v>283</v>
      </c>
      <c r="G50" s="10" t="s">
        <v>284</v>
      </c>
      <c r="H50" s="11" t="s">
        <v>62</v>
      </c>
      <c r="I50" s="10" t="s">
        <v>23</v>
      </c>
      <c r="J50" s="10" t="s">
        <v>63</v>
      </c>
      <c r="K50" s="10" t="s">
        <v>249</v>
      </c>
      <c r="L50" s="12" t="s">
        <v>32</v>
      </c>
      <c r="M50" s="12" t="s">
        <v>27</v>
      </c>
    </row>
    <row r="51" ht="15.75" customHeight="1">
      <c r="A51" s="9" t="s">
        <v>285</v>
      </c>
      <c r="B51" s="9" t="s">
        <v>148</v>
      </c>
      <c r="C51" s="10" t="s">
        <v>280</v>
      </c>
      <c r="D51" s="10" t="s">
        <v>286</v>
      </c>
      <c r="E51" s="10" t="s">
        <v>287</v>
      </c>
      <c r="F51" s="10" t="s">
        <v>288</v>
      </c>
      <c r="G51" s="10" t="s">
        <v>289</v>
      </c>
      <c r="H51" s="11" t="s">
        <v>62</v>
      </c>
      <c r="I51" s="10" t="s">
        <v>23</v>
      </c>
      <c r="J51" s="10" t="s">
        <v>290</v>
      </c>
      <c r="K51" s="10" t="s">
        <v>83</v>
      </c>
      <c r="L51" s="12" t="s">
        <v>291</v>
      </c>
      <c r="M51" s="12" t="s">
        <v>82</v>
      </c>
    </row>
    <row r="52" ht="15.75" customHeight="1">
      <c r="A52" s="9" t="s">
        <v>292</v>
      </c>
      <c r="B52" s="9" t="s">
        <v>148</v>
      </c>
      <c r="C52" s="10" t="s">
        <v>293</v>
      </c>
      <c r="D52" s="10" t="s">
        <v>294</v>
      </c>
      <c r="E52" s="10" t="s">
        <v>295</v>
      </c>
      <c r="F52" s="10" t="s">
        <v>296</v>
      </c>
      <c r="G52" s="10" t="s">
        <v>297</v>
      </c>
      <c r="H52" s="11" t="s">
        <v>62</v>
      </c>
      <c r="I52" s="10" t="s">
        <v>23</v>
      </c>
      <c r="J52" s="10" t="s">
        <v>159</v>
      </c>
      <c r="K52" s="10" t="s">
        <v>298</v>
      </c>
      <c r="L52" s="12" t="s">
        <v>26</v>
      </c>
      <c r="M52" s="12" t="s">
        <v>27</v>
      </c>
    </row>
    <row r="53" ht="15.75" customHeight="1">
      <c r="A53" s="9" t="s">
        <v>299</v>
      </c>
      <c r="B53" s="9" t="s">
        <v>148</v>
      </c>
      <c r="C53" s="10" t="s">
        <v>300</v>
      </c>
      <c r="D53" s="10" t="s">
        <v>301</v>
      </c>
      <c r="E53" s="10" t="s">
        <v>302</v>
      </c>
      <c r="F53" s="10" t="s">
        <v>303</v>
      </c>
      <c r="G53" s="10" t="s">
        <v>304</v>
      </c>
      <c r="H53" s="13" t="s">
        <v>22</v>
      </c>
      <c r="I53" s="10" t="s">
        <v>23</v>
      </c>
      <c r="J53" s="10" t="s">
        <v>305</v>
      </c>
      <c r="K53" s="10" t="s">
        <v>134</v>
      </c>
      <c r="L53" s="12" t="s">
        <v>26</v>
      </c>
      <c r="M53" s="12" t="s">
        <v>69</v>
      </c>
    </row>
    <row r="54" ht="15.75" customHeight="1">
      <c r="A54" s="9" t="s">
        <v>306</v>
      </c>
      <c r="B54" s="9" t="s">
        <v>148</v>
      </c>
      <c r="C54" s="10" t="s">
        <v>300</v>
      </c>
      <c r="D54" s="10" t="s">
        <v>307</v>
      </c>
      <c r="E54" s="10" t="s">
        <v>308</v>
      </c>
      <c r="F54" s="10" t="s">
        <v>309</v>
      </c>
      <c r="G54" s="10" t="s">
        <v>310</v>
      </c>
      <c r="H54" s="13" t="s">
        <v>22</v>
      </c>
      <c r="I54" s="10" t="s">
        <v>23</v>
      </c>
      <c r="J54" s="10" t="s">
        <v>311</v>
      </c>
      <c r="K54" s="10" t="s">
        <v>312</v>
      </c>
      <c r="L54" s="12" t="s">
        <v>26</v>
      </c>
      <c r="M54" s="12" t="s">
        <v>27</v>
      </c>
    </row>
    <row r="55" ht="15.75" customHeight="1">
      <c r="A55" s="9" t="s">
        <v>313</v>
      </c>
      <c r="B55" s="9" t="s">
        <v>148</v>
      </c>
      <c r="C55" s="10" t="s">
        <v>300</v>
      </c>
      <c r="D55" s="10" t="s">
        <v>314</v>
      </c>
      <c r="E55" s="10" t="s">
        <v>315</v>
      </c>
      <c r="F55" s="10" t="s">
        <v>316</v>
      </c>
      <c r="G55" s="10" t="s">
        <v>317</v>
      </c>
      <c r="H55" s="13" t="s">
        <v>22</v>
      </c>
      <c r="I55" s="10" t="s">
        <v>23</v>
      </c>
      <c r="J55" s="10" t="s">
        <v>311</v>
      </c>
      <c r="K55" s="10" t="s">
        <v>318</v>
      </c>
      <c r="L55" s="12" t="s">
        <v>26</v>
      </c>
      <c r="M55" s="12" t="s">
        <v>69</v>
      </c>
    </row>
    <row r="56" ht="15.75" customHeight="1">
      <c r="A56" s="9" t="s">
        <v>319</v>
      </c>
      <c r="B56" s="9" t="s">
        <v>148</v>
      </c>
      <c r="C56" s="10" t="s">
        <v>300</v>
      </c>
      <c r="D56" s="10" t="s">
        <v>320</v>
      </c>
      <c r="E56" s="10" t="s">
        <v>321</v>
      </c>
      <c r="F56" s="10" t="s">
        <v>322</v>
      </c>
      <c r="G56" s="10" t="s">
        <v>323</v>
      </c>
      <c r="H56" s="13" t="s">
        <v>22</v>
      </c>
      <c r="I56" s="10" t="s">
        <v>23</v>
      </c>
      <c r="J56" s="10" t="s">
        <v>311</v>
      </c>
      <c r="K56" s="10" t="s">
        <v>324</v>
      </c>
      <c r="L56" s="12" t="s">
        <v>32</v>
      </c>
      <c r="M56" s="12" t="s">
        <v>27</v>
      </c>
    </row>
    <row r="57" ht="15.75" customHeight="1">
      <c r="A57" s="9" t="s">
        <v>325</v>
      </c>
      <c r="B57" s="9" t="s">
        <v>148</v>
      </c>
      <c r="C57" s="10" t="s">
        <v>300</v>
      </c>
      <c r="D57" s="10" t="s">
        <v>326</v>
      </c>
      <c r="E57" s="10" t="s">
        <v>327</v>
      </c>
      <c r="F57" s="10" t="s">
        <v>328</v>
      </c>
      <c r="G57" s="10" t="s">
        <v>329</v>
      </c>
      <c r="H57" s="13" t="s">
        <v>22</v>
      </c>
      <c r="I57" s="10" t="s">
        <v>23</v>
      </c>
      <c r="J57" s="10" t="s">
        <v>330</v>
      </c>
      <c r="K57" s="10" t="s">
        <v>331</v>
      </c>
      <c r="L57" s="12" t="s">
        <v>26</v>
      </c>
      <c r="M57" s="12" t="s">
        <v>27</v>
      </c>
    </row>
    <row r="58" ht="15.75" customHeight="1">
      <c r="A58" s="9" t="s">
        <v>332</v>
      </c>
      <c r="B58" s="9" t="s">
        <v>148</v>
      </c>
      <c r="C58" s="10" t="s">
        <v>300</v>
      </c>
      <c r="D58" s="10" t="s">
        <v>333</v>
      </c>
      <c r="E58" s="10" t="s">
        <v>334</v>
      </c>
      <c r="F58" s="10" t="s">
        <v>335</v>
      </c>
      <c r="G58" s="10" t="s">
        <v>336</v>
      </c>
      <c r="H58" s="13" t="s">
        <v>22</v>
      </c>
      <c r="I58" s="10" t="s">
        <v>23</v>
      </c>
      <c r="J58" s="10" t="s">
        <v>311</v>
      </c>
      <c r="K58" s="10" t="s">
        <v>299</v>
      </c>
      <c r="L58" s="12" t="s">
        <v>32</v>
      </c>
      <c r="M58" s="12" t="s">
        <v>27</v>
      </c>
    </row>
    <row r="59" ht="15.75" customHeight="1">
      <c r="A59" s="9" t="s">
        <v>337</v>
      </c>
      <c r="B59" s="9" t="s">
        <v>148</v>
      </c>
      <c r="C59" s="10" t="s">
        <v>300</v>
      </c>
      <c r="D59" s="10" t="s">
        <v>338</v>
      </c>
      <c r="E59" s="10" t="s">
        <v>339</v>
      </c>
      <c r="F59" s="10" t="s">
        <v>340</v>
      </c>
      <c r="G59" s="10" t="s">
        <v>341</v>
      </c>
      <c r="H59" s="13" t="s">
        <v>22</v>
      </c>
      <c r="I59" s="10" t="s">
        <v>23</v>
      </c>
      <c r="J59" s="10" t="s">
        <v>311</v>
      </c>
      <c r="K59" s="10" t="s">
        <v>342</v>
      </c>
      <c r="L59" s="12" t="s">
        <v>32</v>
      </c>
      <c r="M59" s="12" t="s">
        <v>33</v>
      </c>
    </row>
    <row r="60" ht="15.75" customHeight="1">
      <c r="A60" s="9" t="s">
        <v>343</v>
      </c>
      <c r="B60" s="9" t="s">
        <v>148</v>
      </c>
      <c r="C60" s="10" t="s">
        <v>344</v>
      </c>
      <c r="D60" s="10" t="s">
        <v>345</v>
      </c>
      <c r="E60" s="10" t="s">
        <v>346</v>
      </c>
      <c r="F60" s="10" t="s">
        <v>347</v>
      </c>
      <c r="G60" s="10" t="s">
        <v>348</v>
      </c>
      <c r="H60" s="13" t="s">
        <v>22</v>
      </c>
      <c r="I60" s="10" t="s">
        <v>23</v>
      </c>
      <c r="J60" s="10" t="s">
        <v>349</v>
      </c>
      <c r="K60" s="10" t="s">
        <v>350</v>
      </c>
      <c r="L60" s="12" t="s">
        <v>32</v>
      </c>
      <c r="M60" s="12" t="s">
        <v>27</v>
      </c>
    </row>
    <row r="61" ht="15.75" customHeight="1">
      <c r="A61" s="9" t="s">
        <v>351</v>
      </c>
      <c r="B61" s="9" t="s">
        <v>148</v>
      </c>
      <c r="C61" s="10" t="s">
        <v>344</v>
      </c>
      <c r="D61" s="10" t="s">
        <v>352</v>
      </c>
      <c r="E61" s="10" t="s">
        <v>353</v>
      </c>
      <c r="F61" s="10" t="s">
        <v>354</v>
      </c>
      <c r="G61" s="10" t="s">
        <v>355</v>
      </c>
      <c r="H61" s="13" t="s">
        <v>22</v>
      </c>
      <c r="I61" s="10" t="s">
        <v>23</v>
      </c>
      <c r="J61" s="10" t="s">
        <v>50</v>
      </c>
      <c r="K61" s="10" t="s">
        <v>343</v>
      </c>
      <c r="L61" s="12" t="s">
        <v>32</v>
      </c>
      <c r="M61" s="12" t="s">
        <v>33</v>
      </c>
    </row>
    <row r="62" ht="15.75" customHeight="1">
      <c r="A62" s="9" t="s">
        <v>356</v>
      </c>
      <c r="B62" s="9" t="s">
        <v>148</v>
      </c>
      <c r="C62" s="10" t="s">
        <v>344</v>
      </c>
      <c r="D62" s="10" t="s">
        <v>357</v>
      </c>
      <c r="E62" s="10" t="s">
        <v>358</v>
      </c>
      <c r="F62" s="10" t="s">
        <v>359</v>
      </c>
      <c r="G62" s="10" t="s">
        <v>360</v>
      </c>
      <c r="H62" s="13" t="s">
        <v>22</v>
      </c>
      <c r="I62" s="10" t="s">
        <v>191</v>
      </c>
      <c r="J62" s="10" t="s">
        <v>305</v>
      </c>
      <c r="K62" s="10" t="s">
        <v>116</v>
      </c>
      <c r="L62" s="12" t="s">
        <v>291</v>
      </c>
      <c r="M62" s="12" t="s">
        <v>33</v>
      </c>
    </row>
    <row r="63" ht="15.75" customHeight="1">
      <c r="A63" s="14" t="s">
        <v>361</v>
      </c>
      <c r="B63" s="14" t="s">
        <v>362</v>
      </c>
      <c r="C63" s="15" t="s">
        <v>363</v>
      </c>
      <c r="D63" s="15" t="s">
        <v>364</v>
      </c>
      <c r="E63" s="15" t="s">
        <v>365</v>
      </c>
      <c r="F63" s="15" t="s">
        <v>366</v>
      </c>
      <c r="G63" s="15" t="s">
        <v>367</v>
      </c>
      <c r="H63" s="16" t="s">
        <v>22</v>
      </c>
      <c r="I63" s="15" t="s">
        <v>179</v>
      </c>
      <c r="J63" s="15" t="s">
        <v>159</v>
      </c>
      <c r="K63" s="15" t="s">
        <v>147</v>
      </c>
      <c r="L63" s="17" t="s">
        <v>32</v>
      </c>
      <c r="M63" s="17" t="s">
        <v>27</v>
      </c>
    </row>
    <row r="64" ht="15.75" customHeight="1">
      <c r="A64" s="14" t="s">
        <v>368</v>
      </c>
      <c r="B64" s="14" t="s">
        <v>362</v>
      </c>
      <c r="C64" s="15" t="s">
        <v>363</v>
      </c>
      <c r="D64" s="15" t="s">
        <v>364</v>
      </c>
      <c r="E64" s="15" t="s">
        <v>369</v>
      </c>
      <c r="F64" s="15" t="s">
        <v>370</v>
      </c>
      <c r="G64" s="15" t="s">
        <v>371</v>
      </c>
      <c r="H64" s="16" t="s">
        <v>22</v>
      </c>
      <c r="I64" s="15" t="s">
        <v>372</v>
      </c>
      <c r="J64" s="15" t="s">
        <v>159</v>
      </c>
      <c r="K64" s="15" t="s">
        <v>361</v>
      </c>
      <c r="L64" s="17" t="s">
        <v>32</v>
      </c>
      <c r="M64" s="17" t="s">
        <v>27</v>
      </c>
    </row>
    <row r="65" ht="15.75" customHeight="1">
      <c r="A65" s="14" t="s">
        <v>373</v>
      </c>
      <c r="B65" s="14" t="s">
        <v>362</v>
      </c>
      <c r="C65" s="15" t="s">
        <v>363</v>
      </c>
      <c r="D65" s="15" t="s">
        <v>374</v>
      </c>
      <c r="E65" s="15" t="s">
        <v>375</v>
      </c>
      <c r="F65" s="15" t="s">
        <v>376</v>
      </c>
      <c r="G65" s="15" t="s">
        <v>377</v>
      </c>
      <c r="H65" s="16" t="s">
        <v>22</v>
      </c>
      <c r="I65" s="15" t="s">
        <v>131</v>
      </c>
      <c r="J65" s="15" t="s">
        <v>159</v>
      </c>
      <c r="K65" s="15" t="s">
        <v>361</v>
      </c>
      <c r="L65" s="17" t="s">
        <v>32</v>
      </c>
      <c r="M65" s="17" t="s">
        <v>27</v>
      </c>
    </row>
    <row r="66" ht="15.75" customHeight="1">
      <c r="A66" s="14" t="s">
        <v>378</v>
      </c>
      <c r="B66" s="14" t="s">
        <v>362</v>
      </c>
      <c r="C66" s="15" t="s">
        <v>363</v>
      </c>
      <c r="D66" s="15" t="s">
        <v>379</v>
      </c>
      <c r="E66" s="15" t="s">
        <v>380</v>
      </c>
      <c r="F66" s="15" t="s">
        <v>381</v>
      </c>
      <c r="G66" s="15" t="s">
        <v>382</v>
      </c>
      <c r="H66" s="18" t="s">
        <v>62</v>
      </c>
      <c r="I66" s="15" t="s">
        <v>169</v>
      </c>
      <c r="J66" s="15" t="s">
        <v>159</v>
      </c>
      <c r="K66" s="15" t="s">
        <v>147</v>
      </c>
      <c r="L66" s="17" t="s">
        <v>32</v>
      </c>
      <c r="M66" s="17" t="s">
        <v>27</v>
      </c>
    </row>
    <row r="67" ht="15.75" customHeight="1">
      <c r="A67" s="14" t="s">
        <v>383</v>
      </c>
      <c r="B67" s="14" t="s">
        <v>362</v>
      </c>
      <c r="C67" s="15" t="s">
        <v>384</v>
      </c>
      <c r="D67" s="15" t="s">
        <v>385</v>
      </c>
      <c r="E67" s="15" t="s">
        <v>386</v>
      </c>
      <c r="F67" s="15" t="s">
        <v>387</v>
      </c>
      <c r="G67" s="15" t="s">
        <v>388</v>
      </c>
      <c r="H67" s="16" t="s">
        <v>22</v>
      </c>
      <c r="I67" s="15" t="s">
        <v>23</v>
      </c>
      <c r="J67" s="15" t="s">
        <v>154</v>
      </c>
      <c r="K67" s="15" t="s">
        <v>197</v>
      </c>
      <c r="L67" s="17" t="s">
        <v>32</v>
      </c>
      <c r="M67" s="17" t="s">
        <v>69</v>
      </c>
    </row>
    <row r="68" ht="15.75" customHeight="1">
      <c r="A68" s="14" t="s">
        <v>389</v>
      </c>
      <c r="B68" s="14" t="s">
        <v>362</v>
      </c>
      <c r="C68" s="15" t="s">
        <v>384</v>
      </c>
      <c r="D68" s="15" t="s">
        <v>385</v>
      </c>
      <c r="E68" s="15" t="s">
        <v>390</v>
      </c>
      <c r="F68" s="15" t="s">
        <v>391</v>
      </c>
      <c r="G68" s="15" t="s">
        <v>392</v>
      </c>
      <c r="H68" s="18" t="s">
        <v>62</v>
      </c>
      <c r="I68" s="15" t="s">
        <v>23</v>
      </c>
      <c r="J68" s="15" t="s">
        <v>393</v>
      </c>
      <c r="K68" s="15" t="s">
        <v>383</v>
      </c>
      <c r="L68" s="17" t="s">
        <v>32</v>
      </c>
      <c r="M68" s="17" t="s">
        <v>69</v>
      </c>
    </row>
    <row r="69" ht="15.75" customHeight="1">
      <c r="A69" s="14" t="s">
        <v>394</v>
      </c>
      <c r="B69" s="14" t="s">
        <v>362</v>
      </c>
      <c r="C69" s="15" t="s">
        <v>384</v>
      </c>
      <c r="D69" s="15" t="s">
        <v>395</v>
      </c>
      <c r="E69" s="15" t="s">
        <v>396</v>
      </c>
      <c r="F69" s="15" t="s">
        <v>397</v>
      </c>
      <c r="G69" s="15" t="s">
        <v>398</v>
      </c>
      <c r="H69" s="18" t="s">
        <v>62</v>
      </c>
      <c r="I69" s="15" t="s">
        <v>169</v>
      </c>
      <c r="J69" s="15" t="s">
        <v>159</v>
      </c>
      <c r="K69" s="15" t="s">
        <v>197</v>
      </c>
      <c r="L69" s="17" t="s">
        <v>291</v>
      </c>
      <c r="M69" s="17" t="s">
        <v>69</v>
      </c>
    </row>
    <row r="70" ht="15.75" customHeight="1">
      <c r="A70" s="14" t="s">
        <v>399</v>
      </c>
      <c r="B70" s="14" t="s">
        <v>362</v>
      </c>
      <c r="C70" s="15" t="s">
        <v>400</v>
      </c>
      <c r="D70" s="15" t="s">
        <v>401</v>
      </c>
      <c r="E70" s="15" t="s">
        <v>402</v>
      </c>
      <c r="F70" s="15" t="s">
        <v>403</v>
      </c>
      <c r="G70" s="15" t="s">
        <v>404</v>
      </c>
      <c r="H70" s="18" t="s">
        <v>62</v>
      </c>
      <c r="I70" s="15" t="s">
        <v>169</v>
      </c>
      <c r="J70" s="15" t="s">
        <v>192</v>
      </c>
      <c r="K70" s="15" t="s">
        <v>134</v>
      </c>
      <c r="L70" s="17" t="s">
        <v>32</v>
      </c>
      <c r="M70" s="17" t="s">
        <v>27</v>
      </c>
    </row>
    <row r="71" ht="15.75" customHeight="1">
      <c r="A71" s="14" t="s">
        <v>405</v>
      </c>
      <c r="B71" s="14" t="s">
        <v>362</v>
      </c>
      <c r="C71" s="15" t="s">
        <v>400</v>
      </c>
      <c r="D71" s="15" t="s">
        <v>406</v>
      </c>
      <c r="E71" s="15" t="s">
        <v>407</v>
      </c>
      <c r="F71" s="15" t="s">
        <v>408</v>
      </c>
      <c r="G71" s="15" t="s">
        <v>409</v>
      </c>
      <c r="H71" s="16" t="s">
        <v>22</v>
      </c>
      <c r="I71" s="15" t="s">
        <v>169</v>
      </c>
      <c r="J71" s="15" t="s">
        <v>140</v>
      </c>
      <c r="K71" s="15" t="s">
        <v>147</v>
      </c>
      <c r="L71" s="17" t="s">
        <v>32</v>
      </c>
      <c r="M71" s="17" t="s">
        <v>82</v>
      </c>
    </row>
    <row r="72" ht="15.75" customHeight="1">
      <c r="A72" s="14" t="s">
        <v>410</v>
      </c>
      <c r="B72" s="14" t="s">
        <v>362</v>
      </c>
      <c r="C72" s="15" t="s">
        <v>400</v>
      </c>
      <c r="D72" s="15" t="s">
        <v>411</v>
      </c>
      <c r="E72" s="15" t="s">
        <v>412</v>
      </c>
      <c r="F72" s="15" t="s">
        <v>413</v>
      </c>
      <c r="G72" s="15" t="s">
        <v>414</v>
      </c>
      <c r="H72" s="16" t="s">
        <v>22</v>
      </c>
      <c r="I72" s="15" t="s">
        <v>169</v>
      </c>
      <c r="J72" s="15" t="s">
        <v>192</v>
      </c>
      <c r="K72" s="15" t="s">
        <v>361</v>
      </c>
      <c r="L72" s="17" t="s">
        <v>291</v>
      </c>
      <c r="M72" s="17" t="s">
        <v>27</v>
      </c>
    </row>
    <row r="73" ht="15.75" customHeight="1">
      <c r="A73" s="14" t="s">
        <v>415</v>
      </c>
      <c r="B73" s="14" t="s">
        <v>362</v>
      </c>
      <c r="C73" s="15" t="s">
        <v>416</v>
      </c>
      <c r="D73" s="15" t="s">
        <v>417</v>
      </c>
      <c r="E73" s="15" t="s">
        <v>418</v>
      </c>
      <c r="F73" s="15" t="s">
        <v>419</v>
      </c>
      <c r="G73" s="15" t="s">
        <v>420</v>
      </c>
      <c r="H73" s="16" t="s">
        <v>22</v>
      </c>
      <c r="I73" s="15" t="s">
        <v>169</v>
      </c>
      <c r="J73" s="15" t="s">
        <v>192</v>
      </c>
      <c r="K73" s="15" t="s">
        <v>249</v>
      </c>
      <c r="L73" s="17" t="s">
        <v>32</v>
      </c>
      <c r="M73" s="17" t="s">
        <v>69</v>
      </c>
    </row>
    <row r="74" ht="15.75" customHeight="1">
      <c r="A74" s="14" t="s">
        <v>421</v>
      </c>
      <c r="B74" s="14" t="s">
        <v>362</v>
      </c>
      <c r="C74" s="15" t="s">
        <v>416</v>
      </c>
      <c r="D74" s="15" t="s">
        <v>417</v>
      </c>
      <c r="E74" s="15" t="s">
        <v>422</v>
      </c>
      <c r="F74" s="15" t="s">
        <v>423</v>
      </c>
      <c r="G74" s="15" t="s">
        <v>424</v>
      </c>
      <c r="H74" s="16" t="s">
        <v>22</v>
      </c>
      <c r="I74" s="15" t="s">
        <v>169</v>
      </c>
      <c r="J74" s="15" t="s">
        <v>39</v>
      </c>
      <c r="K74" s="15" t="s">
        <v>415</v>
      </c>
      <c r="L74" s="17" t="s">
        <v>32</v>
      </c>
      <c r="M74" s="17" t="s">
        <v>27</v>
      </c>
    </row>
    <row r="75" ht="15.75" customHeight="1">
      <c r="A75" s="14" t="s">
        <v>425</v>
      </c>
      <c r="B75" s="14" t="s">
        <v>362</v>
      </c>
      <c r="C75" s="15" t="s">
        <v>416</v>
      </c>
      <c r="D75" s="15" t="s">
        <v>426</v>
      </c>
      <c r="E75" s="15" t="s">
        <v>427</v>
      </c>
      <c r="F75" s="15" t="s">
        <v>428</v>
      </c>
      <c r="G75" s="15" t="s">
        <v>429</v>
      </c>
      <c r="H75" s="16" t="s">
        <v>22</v>
      </c>
      <c r="I75" s="15" t="s">
        <v>191</v>
      </c>
      <c r="J75" s="15" t="s">
        <v>63</v>
      </c>
      <c r="K75" s="15" t="s">
        <v>415</v>
      </c>
      <c r="L75" s="17" t="s">
        <v>291</v>
      </c>
      <c r="M75" s="17" t="s">
        <v>27</v>
      </c>
    </row>
    <row r="76" ht="15.75" customHeight="1">
      <c r="A76" s="14" t="s">
        <v>430</v>
      </c>
      <c r="B76" s="14" t="s">
        <v>362</v>
      </c>
      <c r="C76" s="15" t="s">
        <v>416</v>
      </c>
      <c r="D76" s="15" t="s">
        <v>431</v>
      </c>
      <c r="E76" s="15" t="s">
        <v>432</v>
      </c>
      <c r="F76" s="15" t="s">
        <v>433</v>
      </c>
      <c r="G76" s="15" t="s">
        <v>434</v>
      </c>
      <c r="H76" s="18" t="s">
        <v>62</v>
      </c>
      <c r="I76" s="15" t="s">
        <v>23</v>
      </c>
      <c r="J76" s="15" t="s">
        <v>393</v>
      </c>
      <c r="K76" s="15" t="s">
        <v>83</v>
      </c>
      <c r="L76" s="17" t="s">
        <v>32</v>
      </c>
      <c r="M76" s="17" t="s">
        <v>69</v>
      </c>
    </row>
    <row r="77" ht="15.75" customHeight="1">
      <c r="A77" s="14" t="s">
        <v>435</v>
      </c>
      <c r="B77" s="14" t="s">
        <v>362</v>
      </c>
      <c r="C77" s="15" t="s">
        <v>436</v>
      </c>
      <c r="D77" s="15" t="s">
        <v>437</v>
      </c>
      <c r="E77" s="15" t="s">
        <v>438</v>
      </c>
      <c r="F77" s="15" t="s">
        <v>439</v>
      </c>
      <c r="G77" s="15" t="s">
        <v>440</v>
      </c>
      <c r="H77" s="19" t="s">
        <v>441</v>
      </c>
      <c r="I77" s="15" t="s">
        <v>169</v>
      </c>
      <c r="J77" s="15" t="s">
        <v>239</v>
      </c>
      <c r="K77" s="15" t="s">
        <v>442</v>
      </c>
      <c r="L77" s="17" t="s">
        <v>32</v>
      </c>
      <c r="M77" s="17" t="s">
        <v>27</v>
      </c>
    </row>
    <row r="78" ht="15.75" customHeight="1">
      <c r="A78" s="14" t="s">
        <v>443</v>
      </c>
      <c r="B78" s="14" t="s">
        <v>362</v>
      </c>
      <c r="C78" s="15" t="s">
        <v>436</v>
      </c>
      <c r="D78" s="15" t="s">
        <v>444</v>
      </c>
      <c r="E78" s="15" t="s">
        <v>445</v>
      </c>
      <c r="F78" s="15" t="s">
        <v>446</v>
      </c>
      <c r="G78" s="15" t="s">
        <v>447</v>
      </c>
      <c r="H78" s="16" t="s">
        <v>22</v>
      </c>
      <c r="I78" s="15" t="s">
        <v>179</v>
      </c>
      <c r="J78" s="15" t="s">
        <v>192</v>
      </c>
      <c r="K78" s="15" t="s">
        <v>229</v>
      </c>
      <c r="L78" s="17" t="s">
        <v>291</v>
      </c>
      <c r="M78" s="17" t="s">
        <v>33</v>
      </c>
    </row>
    <row r="79" ht="15.75" customHeight="1">
      <c r="A79" s="14" t="s">
        <v>448</v>
      </c>
      <c r="B79" s="14" t="s">
        <v>362</v>
      </c>
      <c r="C79" s="15" t="s">
        <v>300</v>
      </c>
      <c r="D79" s="15" t="s">
        <v>449</v>
      </c>
      <c r="E79" s="15" t="s">
        <v>450</v>
      </c>
      <c r="F79" s="15" t="s">
        <v>451</v>
      </c>
      <c r="G79" s="15" t="s">
        <v>452</v>
      </c>
      <c r="H79" s="19" t="s">
        <v>441</v>
      </c>
      <c r="I79" s="15" t="s">
        <v>169</v>
      </c>
      <c r="J79" s="15" t="s">
        <v>305</v>
      </c>
      <c r="K79" s="15" t="s">
        <v>415</v>
      </c>
      <c r="L79" s="17" t="s">
        <v>32</v>
      </c>
      <c r="M79" s="17" t="s">
        <v>27</v>
      </c>
    </row>
    <row r="80" ht="15.75" customHeight="1">
      <c r="A80" s="14" t="s">
        <v>453</v>
      </c>
      <c r="B80" s="14" t="s">
        <v>362</v>
      </c>
      <c r="C80" s="15" t="s">
        <v>300</v>
      </c>
      <c r="D80" s="15" t="s">
        <v>454</v>
      </c>
      <c r="E80" s="15" t="s">
        <v>455</v>
      </c>
      <c r="F80" s="15" t="s">
        <v>456</v>
      </c>
      <c r="G80" s="15" t="s">
        <v>457</v>
      </c>
      <c r="H80" s="16" t="s">
        <v>22</v>
      </c>
      <c r="I80" s="15" t="s">
        <v>169</v>
      </c>
      <c r="J80" s="15" t="s">
        <v>311</v>
      </c>
      <c r="K80" s="15" t="s">
        <v>458</v>
      </c>
      <c r="L80" s="17" t="s">
        <v>291</v>
      </c>
      <c r="M80" s="17" t="s">
        <v>33</v>
      </c>
    </row>
    <row r="81" ht="15.75" customHeight="1">
      <c r="A81" s="14" t="s">
        <v>459</v>
      </c>
      <c r="B81" s="14" t="s">
        <v>362</v>
      </c>
      <c r="C81" s="15" t="s">
        <v>344</v>
      </c>
      <c r="D81" s="15" t="s">
        <v>460</v>
      </c>
      <c r="E81" s="15" t="s">
        <v>461</v>
      </c>
      <c r="F81" s="15" t="s">
        <v>462</v>
      </c>
      <c r="G81" s="15" t="s">
        <v>463</v>
      </c>
      <c r="H81" s="16" t="s">
        <v>22</v>
      </c>
      <c r="I81" s="15" t="s">
        <v>23</v>
      </c>
      <c r="J81" s="15" t="s">
        <v>464</v>
      </c>
      <c r="K81" s="15" t="s">
        <v>465</v>
      </c>
      <c r="L81" s="17" t="s">
        <v>32</v>
      </c>
      <c r="M81" s="17" t="s">
        <v>69</v>
      </c>
    </row>
    <row r="82" ht="15.75" customHeight="1">
      <c r="A82" s="14" t="s">
        <v>466</v>
      </c>
      <c r="B82" s="14" t="s">
        <v>362</v>
      </c>
      <c r="C82" s="15" t="s">
        <v>344</v>
      </c>
      <c r="D82" s="15" t="s">
        <v>467</v>
      </c>
      <c r="E82" s="15" t="s">
        <v>468</v>
      </c>
      <c r="F82" s="15" t="s">
        <v>469</v>
      </c>
      <c r="G82" s="15" t="s">
        <v>470</v>
      </c>
      <c r="H82" s="16" t="s">
        <v>22</v>
      </c>
      <c r="I82" s="15" t="s">
        <v>23</v>
      </c>
      <c r="J82" s="15" t="s">
        <v>305</v>
      </c>
      <c r="K82" s="15" t="s">
        <v>343</v>
      </c>
      <c r="L82" s="17" t="s">
        <v>291</v>
      </c>
      <c r="M82" s="17" t="s">
        <v>27</v>
      </c>
    </row>
    <row r="83" ht="15.75" customHeight="1">
      <c r="A83" s="14" t="s">
        <v>471</v>
      </c>
      <c r="B83" s="14" t="s">
        <v>362</v>
      </c>
      <c r="C83" s="15" t="s">
        <v>344</v>
      </c>
      <c r="D83" s="15" t="s">
        <v>472</v>
      </c>
      <c r="E83" s="15" t="s">
        <v>473</v>
      </c>
      <c r="F83" s="15" t="s">
        <v>474</v>
      </c>
      <c r="G83" s="15" t="s">
        <v>475</v>
      </c>
      <c r="H83" s="16" t="s">
        <v>22</v>
      </c>
      <c r="I83" s="15" t="s">
        <v>191</v>
      </c>
      <c r="J83" s="15" t="s">
        <v>476</v>
      </c>
      <c r="K83" s="15" t="s">
        <v>389</v>
      </c>
      <c r="L83" s="17" t="s">
        <v>291</v>
      </c>
      <c r="M83" s="17" t="s">
        <v>27</v>
      </c>
    </row>
    <row r="84" ht="15.75" customHeight="1">
      <c r="A84" s="20" t="s">
        <v>477</v>
      </c>
      <c r="B84" s="20" t="s">
        <v>478</v>
      </c>
      <c r="C84" s="21" t="s">
        <v>479</v>
      </c>
      <c r="D84" s="21" t="s">
        <v>480</v>
      </c>
      <c r="E84" s="21" t="s">
        <v>481</v>
      </c>
      <c r="F84" s="21" t="s">
        <v>482</v>
      </c>
      <c r="G84" s="21" t="s">
        <v>483</v>
      </c>
      <c r="H84" s="22" t="s">
        <v>62</v>
      </c>
      <c r="I84" s="21" t="s">
        <v>169</v>
      </c>
      <c r="J84" s="21" t="s">
        <v>154</v>
      </c>
      <c r="K84" s="21" t="s">
        <v>383</v>
      </c>
      <c r="L84" s="23" t="s">
        <v>291</v>
      </c>
      <c r="M84" s="23" t="s">
        <v>27</v>
      </c>
    </row>
    <row r="85" ht="15.75" customHeight="1">
      <c r="A85" s="20" t="s">
        <v>484</v>
      </c>
      <c r="B85" s="20" t="s">
        <v>478</v>
      </c>
      <c r="C85" s="21" t="s">
        <v>479</v>
      </c>
      <c r="D85" s="21" t="s">
        <v>485</v>
      </c>
      <c r="E85" s="21" t="s">
        <v>486</v>
      </c>
      <c r="F85" s="21" t="s">
        <v>487</v>
      </c>
      <c r="G85" s="21" t="s">
        <v>488</v>
      </c>
      <c r="H85" s="22" t="s">
        <v>62</v>
      </c>
      <c r="I85" s="21" t="s">
        <v>191</v>
      </c>
      <c r="J85" s="21" t="s">
        <v>159</v>
      </c>
      <c r="K85" s="21" t="s">
        <v>383</v>
      </c>
      <c r="L85" s="23" t="s">
        <v>291</v>
      </c>
      <c r="M85" s="23" t="s">
        <v>69</v>
      </c>
    </row>
    <row r="86" ht="15.75" customHeight="1">
      <c r="A86" s="20" t="s">
        <v>489</v>
      </c>
      <c r="B86" s="20" t="s">
        <v>478</v>
      </c>
      <c r="C86" s="21" t="s">
        <v>490</v>
      </c>
      <c r="D86" s="21" t="s">
        <v>491</v>
      </c>
      <c r="E86" s="21" t="s">
        <v>492</v>
      </c>
      <c r="F86" s="21" t="s">
        <v>493</v>
      </c>
      <c r="G86" s="21" t="s">
        <v>494</v>
      </c>
      <c r="H86" s="24" t="s">
        <v>22</v>
      </c>
      <c r="I86" s="21" t="s">
        <v>169</v>
      </c>
      <c r="J86" s="21" t="s">
        <v>154</v>
      </c>
      <c r="K86" s="21" t="s">
        <v>155</v>
      </c>
      <c r="L86" s="23" t="s">
        <v>291</v>
      </c>
      <c r="M86" s="23" t="s">
        <v>27</v>
      </c>
    </row>
    <row r="87" ht="15.75" customHeight="1">
      <c r="A87" s="20" t="s">
        <v>495</v>
      </c>
      <c r="B87" s="20" t="s">
        <v>478</v>
      </c>
      <c r="C87" s="21" t="s">
        <v>490</v>
      </c>
      <c r="D87" s="21" t="s">
        <v>496</v>
      </c>
      <c r="E87" s="21" t="s">
        <v>497</v>
      </c>
      <c r="F87" s="21" t="s">
        <v>498</v>
      </c>
      <c r="G87" s="21" t="s">
        <v>499</v>
      </c>
      <c r="H87" s="24" t="s">
        <v>22</v>
      </c>
      <c r="I87" s="21" t="s">
        <v>131</v>
      </c>
      <c r="J87" s="21" t="s">
        <v>159</v>
      </c>
      <c r="K87" s="21" t="s">
        <v>489</v>
      </c>
      <c r="L87" s="23" t="s">
        <v>291</v>
      </c>
      <c r="M87" s="23" t="s">
        <v>69</v>
      </c>
    </row>
    <row r="88" ht="15.75" customHeight="1">
      <c r="A88" s="20" t="s">
        <v>500</v>
      </c>
      <c r="B88" s="20" t="s">
        <v>478</v>
      </c>
      <c r="C88" s="21" t="s">
        <v>490</v>
      </c>
      <c r="D88" s="21" t="s">
        <v>501</v>
      </c>
      <c r="E88" s="21" t="s">
        <v>502</v>
      </c>
      <c r="F88" s="21" t="s">
        <v>503</v>
      </c>
      <c r="G88" s="21" t="s">
        <v>504</v>
      </c>
      <c r="H88" s="22" t="s">
        <v>62</v>
      </c>
      <c r="I88" s="21" t="s">
        <v>23</v>
      </c>
      <c r="J88" s="21" t="s">
        <v>505</v>
      </c>
      <c r="K88" s="21" t="s">
        <v>378</v>
      </c>
      <c r="L88" s="23" t="s">
        <v>291</v>
      </c>
      <c r="M88" s="23" t="s">
        <v>82</v>
      </c>
    </row>
    <row r="89" ht="15.75" customHeight="1">
      <c r="A89" s="20" t="s">
        <v>506</v>
      </c>
      <c r="B89" s="20" t="s">
        <v>478</v>
      </c>
      <c r="C89" s="21" t="s">
        <v>507</v>
      </c>
      <c r="D89" s="21" t="s">
        <v>508</v>
      </c>
      <c r="E89" s="21" t="s">
        <v>509</v>
      </c>
      <c r="F89" s="21" t="s">
        <v>510</v>
      </c>
      <c r="G89" s="21" t="s">
        <v>511</v>
      </c>
      <c r="H89" s="24" t="s">
        <v>22</v>
      </c>
      <c r="I89" s="21" t="s">
        <v>131</v>
      </c>
      <c r="J89" s="21" t="s">
        <v>192</v>
      </c>
      <c r="K89" s="21" t="s">
        <v>373</v>
      </c>
      <c r="L89" s="23" t="s">
        <v>291</v>
      </c>
      <c r="M89" s="23" t="s">
        <v>69</v>
      </c>
    </row>
    <row r="90" ht="15.75" customHeight="1">
      <c r="A90" s="20" t="s">
        <v>512</v>
      </c>
      <c r="B90" s="20" t="s">
        <v>478</v>
      </c>
      <c r="C90" s="21" t="s">
        <v>507</v>
      </c>
      <c r="D90" s="21" t="s">
        <v>513</v>
      </c>
      <c r="E90" s="21" t="s">
        <v>514</v>
      </c>
      <c r="F90" s="21" t="s">
        <v>515</v>
      </c>
      <c r="G90" s="21" t="s">
        <v>516</v>
      </c>
      <c r="H90" s="22" t="s">
        <v>62</v>
      </c>
      <c r="I90" s="21" t="s">
        <v>131</v>
      </c>
      <c r="J90" s="21" t="s">
        <v>81</v>
      </c>
      <c r="K90" s="21" t="s">
        <v>92</v>
      </c>
      <c r="L90" s="23" t="s">
        <v>291</v>
      </c>
      <c r="M90" s="23" t="s">
        <v>27</v>
      </c>
    </row>
    <row r="91" ht="15.75" customHeight="1">
      <c r="A91" s="20" t="s">
        <v>517</v>
      </c>
      <c r="B91" s="20" t="s">
        <v>478</v>
      </c>
      <c r="C91" s="21" t="s">
        <v>518</v>
      </c>
      <c r="D91" s="21" t="s">
        <v>519</v>
      </c>
      <c r="E91" s="21" t="s">
        <v>520</v>
      </c>
      <c r="F91" s="21" t="s">
        <v>521</v>
      </c>
      <c r="G91" s="21" t="s">
        <v>522</v>
      </c>
      <c r="H91" s="24" t="s">
        <v>22</v>
      </c>
      <c r="I91" s="21" t="s">
        <v>179</v>
      </c>
      <c r="J91" s="21" t="s">
        <v>159</v>
      </c>
      <c r="K91" s="21" t="s">
        <v>361</v>
      </c>
      <c r="L91" s="23" t="s">
        <v>291</v>
      </c>
      <c r="M91" s="23" t="s">
        <v>27</v>
      </c>
    </row>
    <row r="92" ht="15.75" customHeight="1">
      <c r="A92" s="20" t="s">
        <v>523</v>
      </c>
      <c r="B92" s="20" t="s">
        <v>478</v>
      </c>
      <c r="C92" s="21" t="s">
        <v>524</v>
      </c>
      <c r="D92" s="21" t="s">
        <v>525</v>
      </c>
      <c r="E92" s="21" t="s">
        <v>526</v>
      </c>
      <c r="F92" s="21" t="s">
        <v>527</v>
      </c>
      <c r="G92" s="21" t="s">
        <v>528</v>
      </c>
      <c r="H92" s="25" t="s">
        <v>441</v>
      </c>
      <c r="I92" s="21" t="s">
        <v>169</v>
      </c>
      <c r="J92" s="21" t="s">
        <v>529</v>
      </c>
      <c r="K92" s="21" t="s">
        <v>435</v>
      </c>
      <c r="L92" s="23" t="s">
        <v>291</v>
      </c>
      <c r="M92" s="23" t="s">
        <v>69</v>
      </c>
    </row>
    <row r="93" ht="15.75" customHeight="1">
      <c r="A93" s="20" t="s">
        <v>530</v>
      </c>
      <c r="B93" s="20" t="s">
        <v>478</v>
      </c>
      <c r="C93" s="21" t="s">
        <v>524</v>
      </c>
      <c r="D93" s="21" t="s">
        <v>531</v>
      </c>
      <c r="E93" s="21" t="s">
        <v>532</v>
      </c>
      <c r="F93" s="21" t="s">
        <v>533</v>
      </c>
      <c r="G93" s="21" t="s">
        <v>534</v>
      </c>
      <c r="H93" s="25" t="s">
        <v>441</v>
      </c>
      <c r="I93" s="21" t="s">
        <v>169</v>
      </c>
      <c r="J93" s="21" t="s">
        <v>140</v>
      </c>
      <c r="K93" s="21" t="s">
        <v>415</v>
      </c>
      <c r="L93" s="23" t="s">
        <v>291</v>
      </c>
      <c r="M93" s="23" t="s">
        <v>69</v>
      </c>
    </row>
    <row r="94" ht="15.75" customHeight="1">
      <c r="A94" s="20" t="s">
        <v>535</v>
      </c>
      <c r="B94" s="20" t="s">
        <v>478</v>
      </c>
      <c r="C94" s="21" t="s">
        <v>524</v>
      </c>
      <c r="D94" s="21" t="s">
        <v>536</v>
      </c>
      <c r="E94" s="21" t="s">
        <v>537</v>
      </c>
      <c r="F94" s="21" t="s">
        <v>538</v>
      </c>
      <c r="G94" s="21" t="s">
        <v>539</v>
      </c>
      <c r="H94" s="25" t="s">
        <v>441</v>
      </c>
      <c r="I94" s="21" t="s">
        <v>131</v>
      </c>
      <c r="J94" s="21" t="s">
        <v>146</v>
      </c>
      <c r="K94" s="21" t="s">
        <v>141</v>
      </c>
      <c r="L94" s="23" t="s">
        <v>291</v>
      </c>
      <c r="M94" s="23" t="s">
        <v>69</v>
      </c>
    </row>
    <row r="95" ht="15.75" customHeight="1">
      <c r="A95" s="20" t="s">
        <v>540</v>
      </c>
      <c r="B95" s="20" t="s">
        <v>478</v>
      </c>
      <c r="C95" s="21" t="s">
        <v>524</v>
      </c>
      <c r="D95" s="21" t="s">
        <v>541</v>
      </c>
      <c r="E95" s="21" t="s">
        <v>542</v>
      </c>
      <c r="F95" s="21" t="s">
        <v>543</v>
      </c>
      <c r="G95" s="21" t="s">
        <v>544</v>
      </c>
      <c r="H95" s="25" t="s">
        <v>441</v>
      </c>
      <c r="I95" s="21" t="s">
        <v>169</v>
      </c>
      <c r="J95" s="21" t="s">
        <v>192</v>
      </c>
      <c r="K95" s="21" t="s">
        <v>110</v>
      </c>
      <c r="L95" s="23" t="s">
        <v>291</v>
      </c>
      <c r="M95" s="23" t="s">
        <v>27</v>
      </c>
    </row>
    <row r="96" ht="15.75" customHeight="1">
      <c r="A96" s="20" t="s">
        <v>545</v>
      </c>
      <c r="B96" s="20" t="s">
        <v>478</v>
      </c>
      <c r="C96" s="21" t="s">
        <v>546</v>
      </c>
      <c r="D96" s="21" t="s">
        <v>547</v>
      </c>
      <c r="E96" s="21" t="s">
        <v>548</v>
      </c>
      <c r="F96" s="21" t="s">
        <v>549</v>
      </c>
      <c r="G96" s="21" t="s">
        <v>550</v>
      </c>
      <c r="H96" s="25" t="s">
        <v>441</v>
      </c>
      <c r="I96" s="21" t="s">
        <v>169</v>
      </c>
      <c r="J96" s="21" t="s">
        <v>192</v>
      </c>
      <c r="K96" s="21" t="s">
        <v>134</v>
      </c>
      <c r="L96" s="23" t="s">
        <v>291</v>
      </c>
      <c r="M96" s="23" t="s">
        <v>69</v>
      </c>
    </row>
    <row r="97" ht="15.75" customHeight="1">
      <c r="A97" s="20" t="s">
        <v>551</v>
      </c>
      <c r="B97" s="20" t="s">
        <v>478</v>
      </c>
      <c r="C97" s="21" t="s">
        <v>546</v>
      </c>
      <c r="D97" s="21" t="s">
        <v>552</v>
      </c>
      <c r="E97" s="21" t="s">
        <v>553</v>
      </c>
      <c r="F97" s="21" t="s">
        <v>554</v>
      </c>
      <c r="G97" s="21" t="s">
        <v>555</v>
      </c>
      <c r="H97" s="24" t="s">
        <v>22</v>
      </c>
      <c r="I97" s="21" t="s">
        <v>23</v>
      </c>
      <c r="J97" s="21" t="s">
        <v>192</v>
      </c>
      <c r="K97" s="21" t="s">
        <v>229</v>
      </c>
      <c r="L97" s="23" t="s">
        <v>291</v>
      </c>
      <c r="M97" s="23" t="s">
        <v>27</v>
      </c>
    </row>
    <row r="98" ht="15.75" customHeight="1">
      <c r="A98" s="26" t="s">
        <v>556</v>
      </c>
      <c r="B98" s="26" t="s">
        <v>557</v>
      </c>
      <c r="C98" s="27" t="s">
        <v>558</v>
      </c>
      <c r="D98" s="27" t="s">
        <v>559</v>
      </c>
      <c r="E98" s="27" t="s">
        <v>560</v>
      </c>
      <c r="F98" s="27" t="s">
        <v>561</v>
      </c>
      <c r="G98" s="27" t="s">
        <v>562</v>
      </c>
      <c r="H98" s="28" t="s">
        <v>62</v>
      </c>
      <c r="I98" s="27" t="s">
        <v>23</v>
      </c>
      <c r="J98" s="27" t="s">
        <v>81</v>
      </c>
      <c r="K98" s="27" t="s">
        <v>104</v>
      </c>
      <c r="L98" s="29" t="s">
        <v>32</v>
      </c>
      <c r="M98" s="29" t="s">
        <v>82</v>
      </c>
    </row>
    <row r="99" ht="15.75" customHeight="1">
      <c r="A99" s="26" t="s">
        <v>563</v>
      </c>
      <c r="B99" s="26" t="s">
        <v>557</v>
      </c>
      <c r="C99" s="27" t="s">
        <v>558</v>
      </c>
      <c r="D99" s="27" t="s">
        <v>559</v>
      </c>
      <c r="E99" s="27" t="s">
        <v>564</v>
      </c>
      <c r="F99" s="27" t="s">
        <v>565</v>
      </c>
      <c r="G99" s="27" t="s">
        <v>566</v>
      </c>
      <c r="H99" s="28" t="s">
        <v>62</v>
      </c>
      <c r="I99" s="27" t="s">
        <v>23</v>
      </c>
      <c r="J99" s="27" t="s">
        <v>81</v>
      </c>
      <c r="K99" s="27" t="s">
        <v>556</v>
      </c>
      <c r="L99" s="29" t="s">
        <v>291</v>
      </c>
      <c r="M99" s="29" t="s">
        <v>69</v>
      </c>
    </row>
    <row r="100" ht="15.75" customHeight="1">
      <c r="A100" s="26" t="s">
        <v>567</v>
      </c>
      <c r="B100" s="26" t="s">
        <v>557</v>
      </c>
      <c r="C100" s="27" t="s">
        <v>558</v>
      </c>
      <c r="D100" s="27" t="s">
        <v>568</v>
      </c>
      <c r="E100" s="27" t="s">
        <v>569</v>
      </c>
      <c r="F100" s="27" t="s">
        <v>570</v>
      </c>
      <c r="G100" s="27" t="s">
        <v>571</v>
      </c>
      <c r="H100" s="28" t="s">
        <v>62</v>
      </c>
      <c r="I100" s="27" t="s">
        <v>23</v>
      </c>
      <c r="J100" s="27" t="s">
        <v>159</v>
      </c>
      <c r="K100" s="27" t="s">
        <v>88</v>
      </c>
      <c r="L100" s="29" t="s">
        <v>291</v>
      </c>
      <c r="M100" s="29" t="s">
        <v>27</v>
      </c>
    </row>
    <row r="101" ht="15.75" customHeight="1">
      <c r="A101" s="26" t="s">
        <v>572</v>
      </c>
      <c r="B101" s="26" t="s">
        <v>557</v>
      </c>
      <c r="C101" s="27" t="s">
        <v>573</v>
      </c>
      <c r="D101" s="27" t="s">
        <v>574</v>
      </c>
      <c r="E101" s="27" t="s">
        <v>575</v>
      </c>
      <c r="F101" s="27" t="s">
        <v>576</v>
      </c>
      <c r="G101" s="27" t="s">
        <v>577</v>
      </c>
      <c r="H101" s="28" t="s">
        <v>62</v>
      </c>
      <c r="I101" s="27" t="s">
        <v>23</v>
      </c>
      <c r="J101" s="27" t="s">
        <v>505</v>
      </c>
      <c r="K101" s="27" t="s">
        <v>578</v>
      </c>
      <c r="L101" s="29" t="s">
        <v>32</v>
      </c>
      <c r="M101" s="29" t="s">
        <v>82</v>
      </c>
    </row>
    <row r="102" ht="15.75" customHeight="1">
      <c r="A102" s="26" t="s">
        <v>579</v>
      </c>
      <c r="B102" s="26" t="s">
        <v>557</v>
      </c>
      <c r="C102" s="27" t="s">
        <v>573</v>
      </c>
      <c r="D102" s="27" t="s">
        <v>574</v>
      </c>
      <c r="E102" s="27" t="s">
        <v>580</v>
      </c>
      <c r="F102" s="27" t="s">
        <v>581</v>
      </c>
      <c r="G102" s="27" t="s">
        <v>582</v>
      </c>
      <c r="H102" s="28" t="s">
        <v>62</v>
      </c>
      <c r="I102" s="27" t="s">
        <v>23</v>
      </c>
      <c r="J102" s="27" t="s">
        <v>159</v>
      </c>
      <c r="K102" s="27" t="s">
        <v>583</v>
      </c>
      <c r="L102" s="29" t="s">
        <v>291</v>
      </c>
      <c r="M102" s="29" t="s">
        <v>69</v>
      </c>
    </row>
    <row r="103" ht="15.75" customHeight="1">
      <c r="A103" s="26" t="s">
        <v>584</v>
      </c>
      <c r="B103" s="26" t="s">
        <v>557</v>
      </c>
      <c r="C103" s="27" t="s">
        <v>573</v>
      </c>
      <c r="D103" s="27" t="s">
        <v>574</v>
      </c>
      <c r="E103" s="27" t="s">
        <v>585</v>
      </c>
      <c r="F103" s="27" t="s">
        <v>586</v>
      </c>
      <c r="G103" s="27" t="s">
        <v>587</v>
      </c>
      <c r="H103" s="30" t="s">
        <v>22</v>
      </c>
      <c r="I103" s="27" t="s">
        <v>169</v>
      </c>
      <c r="J103" s="27" t="s">
        <v>192</v>
      </c>
      <c r="K103" s="27" t="s">
        <v>572</v>
      </c>
      <c r="L103" s="29" t="s">
        <v>291</v>
      </c>
      <c r="M103" s="29" t="s">
        <v>27</v>
      </c>
    </row>
    <row r="104" ht="15.75" customHeight="1">
      <c r="A104" s="26" t="s">
        <v>588</v>
      </c>
      <c r="B104" s="26" t="s">
        <v>557</v>
      </c>
      <c r="C104" s="27" t="s">
        <v>589</v>
      </c>
      <c r="D104" s="27" t="s">
        <v>590</v>
      </c>
      <c r="E104" s="27" t="s">
        <v>591</v>
      </c>
      <c r="F104" s="27" t="s">
        <v>592</v>
      </c>
      <c r="G104" s="27" t="s">
        <v>593</v>
      </c>
      <c r="H104" s="30" t="s">
        <v>22</v>
      </c>
      <c r="I104" s="27" t="s">
        <v>23</v>
      </c>
      <c r="J104" s="27" t="s">
        <v>505</v>
      </c>
      <c r="K104" s="27" t="s">
        <v>383</v>
      </c>
      <c r="L104" s="29" t="s">
        <v>32</v>
      </c>
      <c r="M104" s="29" t="s">
        <v>69</v>
      </c>
    </row>
    <row r="105" ht="15.75" customHeight="1">
      <c r="A105" s="26" t="s">
        <v>594</v>
      </c>
      <c r="B105" s="26" t="s">
        <v>557</v>
      </c>
      <c r="C105" s="27" t="s">
        <v>589</v>
      </c>
      <c r="D105" s="27" t="s">
        <v>590</v>
      </c>
      <c r="E105" s="27" t="s">
        <v>595</v>
      </c>
      <c r="F105" s="27" t="s">
        <v>596</v>
      </c>
      <c r="G105" s="27" t="s">
        <v>597</v>
      </c>
      <c r="H105" s="28" t="s">
        <v>62</v>
      </c>
      <c r="I105" s="27" t="s">
        <v>23</v>
      </c>
      <c r="J105" s="27" t="s">
        <v>598</v>
      </c>
      <c r="K105" s="27" t="s">
        <v>588</v>
      </c>
      <c r="L105" s="29" t="s">
        <v>291</v>
      </c>
      <c r="M105" s="29" t="s">
        <v>69</v>
      </c>
    </row>
    <row r="106" ht="15.75" customHeight="1">
      <c r="A106" s="26" t="s">
        <v>599</v>
      </c>
      <c r="B106" s="26" t="s">
        <v>557</v>
      </c>
      <c r="C106" s="27" t="s">
        <v>589</v>
      </c>
      <c r="D106" s="27" t="s">
        <v>590</v>
      </c>
      <c r="E106" s="27" t="s">
        <v>600</v>
      </c>
      <c r="F106" s="27" t="s">
        <v>601</v>
      </c>
      <c r="G106" s="27" t="s">
        <v>602</v>
      </c>
      <c r="H106" s="30" t="s">
        <v>22</v>
      </c>
      <c r="I106" s="27" t="s">
        <v>23</v>
      </c>
      <c r="J106" s="27" t="s">
        <v>603</v>
      </c>
      <c r="K106" s="27" t="s">
        <v>588</v>
      </c>
      <c r="L106" s="29" t="s">
        <v>291</v>
      </c>
      <c r="M106" s="29" t="s">
        <v>27</v>
      </c>
    </row>
    <row r="107" ht="15.75" customHeight="1">
      <c r="A107" s="26" t="s">
        <v>604</v>
      </c>
      <c r="B107" s="26" t="s">
        <v>557</v>
      </c>
      <c r="C107" s="27" t="s">
        <v>605</v>
      </c>
      <c r="D107" s="27" t="s">
        <v>606</v>
      </c>
      <c r="E107" s="27" t="s">
        <v>607</v>
      </c>
      <c r="F107" s="27" t="s">
        <v>608</v>
      </c>
      <c r="G107" s="27" t="s">
        <v>609</v>
      </c>
      <c r="H107" s="30" t="s">
        <v>22</v>
      </c>
      <c r="I107" s="27" t="s">
        <v>169</v>
      </c>
      <c r="J107" s="27" t="s">
        <v>154</v>
      </c>
      <c r="K107" s="27" t="s">
        <v>610</v>
      </c>
      <c r="L107" s="29" t="s">
        <v>32</v>
      </c>
      <c r="M107" s="29" t="s">
        <v>69</v>
      </c>
    </row>
    <row r="108" ht="15.75" customHeight="1">
      <c r="A108" s="26" t="s">
        <v>611</v>
      </c>
      <c r="B108" s="26" t="s">
        <v>557</v>
      </c>
      <c r="C108" s="27" t="s">
        <v>605</v>
      </c>
      <c r="D108" s="27" t="s">
        <v>606</v>
      </c>
      <c r="E108" s="27" t="s">
        <v>612</v>
      </c>
      <c r="F108" s="27" t="s">
        <v>613</v>
      </c>
      <c r="G108" s="27" t="s">
        <v>614</v>
      </c>
      <c r="H108" s="28" t="s">
        <v>62</v>
      </c>
      <c r="I108" s="27" t="s">
        <v>169</v>
      </c>
      <c r="J108" s="27" t="s">
        <v>154</v>
      </c>
      <c r="K108" s="27" t="s">
        <v>399</v>
      </c>
      <c r="L108" s="29" t="s">
        <v>32</v>
      </c>
      <c r="M108" s="29" t="s">
        <v>27</v>
      </c>
    </row>
    <row r="109" ht="15.75" customHeight="1">
      <c r="A109" s="26" t="s">
        <v>615</v>
      </c>
      <c r="B109" s="26" t="s">
        <v>557</v>
      </c>
      <c r="C109" s="27" t="s">
        <v>605</v>
      </c>
      <c r="D109" s="27" t="s">
        <v>616</v>
      </c>
      <c r="E109" s="27" t="s">
        <v>617</v>
      </c>
      <c r="F109" s="27" t="s">
        <v>618</v>
      </c>
      <c r="G109" s="27" t="s">
        <v>619</v>
      </c>
      <c r="H109" s="28" t="s">
        <v>62</v>
      </c>
      <c r="I109" s="27" t="s">
        <v>169</v>
      </c>
      <c r="J109" s="27" t="s">
        <v>192</v>
      </c>
      <c r="K109" s="27" t="s">
        <v>620</v>
      </c>
      <c r="L109" s="29" t="s">
        <v>32</v>
      </c>
      <c r="M109" s="29" t="s">
        <v>27</v>
      </c>
    </row>
    <row r="110" ht="15.75" customHeight="1">
      <c r="A110" s="26" t="s">
        <v>621</v>
      </c>
      <c r="B110" s="26" t="s">
        <v>557</v>
      </c>
      <c r="C110" s="27" t="s">
        <v>605</v>
      </c>
      <c r="D110" s="27" t="s">
        <v>622</v>
      </c>
      <c r="E110" s="27" t="s">
        <v>623</v>
      </c>
      <c r="F110" s="27" t="s">
        <v>624</v>
      </c>
      <c r="G110" s="27" t="s">
        <v>625</v>
      </c>
      <c r="H110" s="30" t="s">
        <v>22</v>
      </c>
      <c r="I110" s="27" t="s">
        <v>23</v>
      </c>
      <c r="J110" s="27" t="s">
        <v>159</v>
      </c>
      <c r="K110" s="27" t="s">
        <v>373</v>
      </c>
      <c r="L110" s="29" t="s">
        <v>291</v>
      </c>
      <c r="M110" s="29" t="s">
        <v>69</v>
      </c>
    </row>
    <row r="111" ht="15.75" customHeight="1">
      <c r="A111" s="26" t="s">
        <v>626</v>
      </c>
      <c r="B111" s="26" t="s">
        <v>557</v>
      </c>
      <c r="C111" s="27" t="s">
        <v>627</v>
      </c>
      <c r="D111" s="27" t="s">
        <v>628</v>
      </c>
      <c r="E111" s="27" t="s">
        <v>629</v>
      </c>
      <c r="F111" s="27" t="s">
        <v>630</v>
      </c>
      <c r="G111" s="27" t="s">
        <v>631</v>
      </c>
      <c r="H111" s="30" t="s">
        <v>22</v>
      </c>
      <c r="I111" s="27" t="s">
        <v>169</v>
      </c>
      <c r="J111" s="27" t="s">
        <v>154</v>
      </c>
      <c r="K111" s="27" t="s">
        <v>632</v>
      </c>
      <c r="L111" s="29" t="s">
        <v>291</v>
      </c>
      <c r="M111" s="29" t="s">
        <v>82</v>
      </c>
    </row>
    <row r="112" ht="15.75" customHeight="1">
      <c r="A112" s="26" t="s">
        <v>633</v>
      </c>
      <c r="B112" s="26" t="s">
        <v>557</v>
      </c>
      <c r="C112" s="27" t="s">
        <v>627</v>
      </c>
      <c r="D112" s="27" t="s">
        <v>634</v>
      </c>
      <c r="E112" s="27" t="s">
        <v>635</v>
      </c>
      <c r="F112" s="27" t="s">
        <v>636</v>
      </c>
      <c r="G112" s="27" t="s">
        <v>637</v>
      </c>
      <c r="H112" s="28" t="s">
        <v>62</v>
      </c>
      <c r="I112" s="27" t="s">
        <v>169</v>
      </c>
      <c r="J112" s="27" t="s">
        <v>159</v>
      </c>
      <c r="K112" s="27" t="s">
        <v>638</v>
      </c>
      <c r="L112" s="29" t="s">
        <v>291</v>
      </c>
      <c r="M112" s="29" t="s">
        <v>27</v>
      </c>
    </row>
    <row r="113" ht="15.75" customHeight="1">
      <c r="A113" s="26" t="s">
        <v>639</v>
      </c>
      <c r="B113" s="26" t="s">
        <v>557</v>
      </c>
      <c r="C113" s="27" t="s">
        <v>627</v>
      </c>
      <c r="D113" s="27" t="s">
        <v>640</v>
      </c>
      <c r="E113" s="27" t="s">
        <v>641</v>
      </c>
      <c r="F113" s="27" t="s">
        <v>642</v>
      </c>
      <c r="G113" s="27" t="s">
        <v>643</v>
      </c>
      <c r="H113" s="30" t="s">
        <v>22</v>
      </c>
      <c r="I113" s="27" t="s">
        <v>169</v>
      </c>
      <c r="J113" s="27" t="s">
        <v>644</v>
      </c>
      <c r="K113" s="27" t="s">
        <v>645</v>
      </c>
      <c r="L113" s="29" t="s">
        <v>291</v>
      </c>
      <c r="M113" s="29" t="s">
        <v>69</v>
      </c>
    </row>
    <row r="114" ht="15.75" customHeight="1">
      <c r="A114" s="26" t="s">
        <v>646</v>
      </c>
      <c r="B114" s="26" t="s">
        <v>557</v>
      </c>
      <c r="C114" s="27" t="s">
        <v>647</v>
      </c>
      <c r="D114" s="27" t="s">
        <v>648</v>
      </c>
      <c r="E114" s="27" t="s">
        <v>649</v>
      </c>
      <c r="F114" s="27" t="s">
        <v>650</v>
      </c>
      <c r="G114" s="27" t="s">
        <v>651</v>
      </c>
      <c r="H114" s="28" t="s">
        <v>62</v>
      </c>
      <c r="I114" s="27" t="s">
        <v>23</v>
      </c>
      <c r="J114" s="27" t="s">
        <v>132</v>
      </c>
      <c r="K114" s="27" t="s">
        <v>652</v>
      </c>
      <c r="L114" s="29" t="s">
        <v>32</v>
      </c>
      <c r="M114" s="29" t="s">
        <v>82</v>
      </c>
    </row>
    <row r="115" ht="15.75" customHeight="1">
      <c r="A115" s="26" t="s">
        <v>653</v>
      </c>
      <c r="B115" s="26" t="s">
        <v>557</v>
      </c>
      <c r="C115" s="27" t="s">
        <v>647</v>
      </c>
      <c r="D115" s="27" t="s">
        <v>648</v>
      </c>
      <c r="E115" s="27" t="s">
        <v>654</v>
      </c>
      <c r="F115" s="27" t="s">
        <v>655</v>
      </c>
      <c r="G115" s="27" t="s">
        <v>656</v>
      </c>
      <c r="H115" s="28" t="s">
        <v>62</v>
      </c>
      <c r="I115" s="27" t="s">
        <v>23</v>
      </c>
      <c r="J115" s="27" t="s">
        <v>657</v>
      </c>
      <c r="K115" s="27" t="s">
        <v>646</v>
      </c>
      <c r="L115" s="29" t="s">
        <v>32</v>
      </c>
      <c r="M115" s="29" t="s">
        <v>69</v>
      </c>
    </row>
    <row r="116" ht="15.75" customHeight="1">
      <c r="A116" s="26" t="s">
        <v>658</v>
      </c>
      <c r="B116" s="26" t="s">
        <v>557</v>
      </c>
      <c r="C116" s="27" t="s">
        <v>647</v>
      </c>
      <c r="D116" s="27" t="s">
        <v>659</v>
      </c>
      <c r="E116" s="27" t="s">
        <v>660</v>
      </c>
      <c r="F116" s="27" t="s">
        <v>661</v>
      </c>
      <c r="G116" s="27" t="s">
        <v>662</v>
      </c>
      <c r="H116" s="28" t="s">
        <v>62</v>
      </c>
      <c r="I116" s="27" t="s">
        <v>23</v>
      </c>
      <c r="J116" s="27" t="s">
        <v>63</v>
      </c>
      <c r="K116" s="27" t="s">
        <v>663</v>
      </c>
      <c r="L116" s="29" t="s">
        <v>26</v>
      </c>
      <c r="M116" s="29" t="s">
        <v>27</v>
      </c>
    </row>
    <row r="117" ht="15.75" customHeight="1">
      <c r="A117" s="26" t="s">
        <v>664</v>
      </c>
      <c r="B117" s="26" t="s">
        <v>557</v>
      </c>
      <c r="C117" s="27" t="s">
        <v>647</v>
      </c>
      <c r="D117" s="27" t="s">
        <v>665</v>
      </c>
      <c r="E117" s="27" t="s">
        <v>666</v>
      </c>
      <c r="F117" s="27" t="s">
        <v>667</v>
      </c>
      <c r="G117" s="27" t="s">
        <v>668</v>
      </c>
      <c r="H117" s="30" t="s">
        <v>22</v>
      </c>
      <c r="I117" s="27" t="s">
        <v>23</v>
      </c>
      <c r="J117" s="27" t="s">
        <v>50</v>
      </c>
      <c r="K117" s="27" t="s">
        <v>646</v>
      </c>
      <c r="L117" s="29" t="s">
        <v>291</v>
      </c>
      <c r="M117" s="29" t="s">
        <v>69</v>
      </c>
    </row>
    <row r="118" ht="15.75" customHeight="1">
      <c r="A118" s="26" t="s">
        <v>669</v>
      </c>
      <c r="B118" s="26" t="s">
        <v>557</v>
      </c>
      <c r="C118" s="27" t="s">
        <v>670</v>
      </c>
      <c r="D118" s="27" t="s">
        <v>671</v>
      </c>
      <c r="E118" s="27" t="s">
        <v>672</v>
      </c>
      <c r="F118" s="27" t="s">
        <v>673</v>
      </c>
      <c r="G118" s="27" t="s">
        <v>674</v>
      </c>
      <c r="H118" s="28" t="s">
        <v>62</v>
      </c>
      <c r="I118" s="27" t="s">
        <v>23</v>
      </c>
      <c r="J118" s="27" t="s">
        <v>159</v>
      </c>
      <c r="K118" s="27" t="s">
        <v>675</v>
      </c>
      <c r="L118" s="29" t="s">
        <v>32</v>
      </c>
      <c r="M118" s="29" t="s">
        <v>69</v>
      </c>
    </row>
    <row r="119" ht="15.75" customHeight="1">
      <c r="A119" s="26" t="s">
        <v>676</v>
      </c>
      <c r="B119" s="26" t="s">
        <v>557</v>
      </c>
      <c r="C119" s="27" t="s">
        <v>670</v>
      </c>
      <c r="D119" s="27" t="s">
        <v>677</v>
      </c>
      <c r="E119" s="27" t="s">
        <v>678</v>
      </c>
      <c r="F119" s="27" t="s">
        <v>679</v>
      </c>
      <c r="G119" s="27" t="s">
        <v>680</v>
      </c>
      <c r="H119" s="30" t="s">
        <v>22</v>
      </c>
      <c r="I119" s="27" t="s">
        <v>131</v>
      </c>
      <c r="J119" s="27" t="s">
        <v>154</v>
      </c>
      <c r="K119" s="27" t="s">
        <v>681</v>
      </c>
      <c r="L119" s="29" t="s">
        <v>32</v>
      </c>
      <c r="M119" s="29" t="s">
        <v>82</v>
      </c>
    </row>
    <row r="120" ht="15.75" customHeight="1">
      <c r="A120" s="26" t="s">
        <v>682</v>
      </c>
      <c r="B120" s="26" t="s">
        <v>557</v>
      </c>
      <c r="C120" s="27" t="s">
        <v>670</v>
      </c>
      <c r="D120" s="27" t="s">
        <v>683</v>
      </c>
      <c r="E120" s="27" t="s">
        <v>684</v>
      </c>
      <c r="F120" s="27" t="s">
        <v>685</v>
      </c>
      <c r="G120" s="27" t="s">
        <v>686</v>
      </c>
      <c r="H120" s="30" t="s">
        <v>22</v>
      </c>
      <c r="I120" s="27" t="s">
        <v>179</v>
      </c>
      <c r="J120" s="27" t="s">
        <v>159</v>
      </c>
      <c r="K120" s="27" t="s">
        <v>687</v>
      </c>
      <c r="L120" s="29" t="s">
        <v>291</v>
      </c>
      <c r="M120" s="29" t="s">
        <v>69</v>
      </c>
    </row>
    <row r="121" ht="15.75" customHeight="1">
      <c r="A121" s="26" t="s">
        <v>688</v>
      </c>
      <c r="B121" s="26" t="s">
        <v>557</v>
      </c>
      <c r="C121" s="27" t="s">
        <v>670</v>
      </c>
      <c r="D121" s="27" t="s">
        <v>689</v>
      </c>
      <c r="E121" s="27" t="s">
        <v>690</v>
      </c>
      <c r="F121" s="27" t="s">
        <v>691</v>
      </c>
      <c r="G121" s="27" t="s">
        <v>692</v>
      </c>
      <c r="H121" s="30" t="s">
        <v>22</v>
      </c>
      <c r="I121" s="27" t="s">
        <v>23</v>
      </c>
      <c r="J121" s="27" t="s">
        <v>154</v>
      </c>
      <c r="K121" s="27" t="s">
        <v>693</v>
      </c>
      <c r="L121" s="29" t="s">
        <v>32</v>
      </c>
      <c r="M121" s="29" t="s">
        <v>82</v>
      </c>
    </row>
    <row r="122" ht="15.75" customHeight="1">
      <c r="A122" s="26" t="s">
        <v>694</v>
      </c>
      <c r="B122" s="26" t="s">
        <v>557</v>
      </c>
      <c r="C122" s="27" t="s">
        <v>670</v>
      </c>
      <c r="D122" s="27" t="s">
        <v>689</v>
      </c>
      <c r="E122" s="27" t="s">
        <v>695</v>
      </c>
      <c r="F122" s="27" t="s">
        <v>696</v>
      </c>
      <c r="G122" s="27" t="s">
        <v>697</v>
      </c>
      <c r="H122" s="28" t="s">
        <v>62</v>
      </c>
      <c r="I122" s="27" t="s">
        <v>23</v>
      </c>
      <c r="J122" s="27" t="s">
        <v>159</v>
      </c>
      <c r="K122" s="27" t="s">
        <v>698</v>
      </c>
      <c r="L122" s="29" t="s">
        <v>291</v>
      </c>
      <c r="M122" s="29" t="s">
        <v>27</v>
      </c>
    </row>
  </sheetData>
  <autoFilter ref="$A$4:$M$122"/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78.0"/>
    <col customWidth="1" min="3" max="11" width="8.71"/>
  </cols>
  <sheetData>
    <row r="1">
      <c r="A1" s="1" t="s">
        <v>699</v>
      </c>
    </row>
    <row r="3" ht="19.5" customHeight="1">
      <c r="A3" s="31" t="s">
        <v>700</v>
      </c>
      <c r="B3" s="32"/>
    </row>
    <row r="4">
      <c r="A4" s="33" t="s">
        <v>701</v>
      </c>
      <c r="B4" s="34" t="s">
        <v>702</v>
      </c>
    </row>
    <row r="5">
      <c r="A5" s="33" t="s">
        <v>703</v>
      </c>
      <c r="B5" s="34" t="s">
        <v>704</v>
      </c>
    </row>
    <row r="6">
      <c r="A6" s="33" t="s">
        <v>12</v>
      </c>
      <c r="B6" s="34" t="s">
        <v>705</v>
      </c>
    </row>
    <row r="7">
      <c r="A7" s="33" t="s">
        <v>8</v>
      </c>
      <c r="B7" s="34" t="s">
        <v>706</v>
      </c>
    </row>
    <row r="9" ht="19.5" customHeight="1">
      <c r="A9" s="31" t="s">
        <v>707</v>
      </c>
      <c r="B9" s="32"/>
    </row>
    <row r="10">
      <c r="A10" s="35" t="s">
        <v>16</v>
      </c>
      <c r="B10" s="34" t="s">
        <v>708</v>
      </c>
    </row>
    <row r="11">
      <c r="A11" s="36" t="s">
        <v>148</v>
      </c>
      <c r="B11" s="34" t="s">
        <v>709</v>
      </c>
    </row>
    <row r="12">
      <c r="A12" s="37" t="s">
        <v>362</v>
      </c>
      <c r="B12" s="34" t="s">
        <v>710</v>
      </c>
    </row>
    <row r="13">
      <c r="A13" s="38" t="s">
        <v>478</v>
      </c>
      <c r="B13" s="34" t="s">
        <v>711</v>
      </c>
    </row>
    <row r="14">
      <c r="A14" s="39" t="s">
        <v>557</v>
      </c>
      <c r="B14" s="34" t="s">
        <v>712</v>
      </c>
    </row>
    <row r="16" ht="19.5" customHeight="1">
      <c r="A16" s="31" t="s">
        <v>713</v>
      </c>
      <c r="B16" s="32"/>
    </row>
    <row r="17">
      <c r="A17" s="39" t="s">
        <v>714</v>
      </c>
      <c r="B17" s="34" t="s">
        <v>715</v>
      </c>
    </row>
    <row r="18">
      <c r="A18" s="39" t="s">
        <v>716</v>
      </c>
      <c r="B18" s="34" t="s">
        <v>717</v>
      </c>
    </row>
    <row r="19">
      <c r="A19" s="39" t="s">
        <v>718</v>
      </c>
      <c r="B19" s="34" t="s">
        <v>719</v>
      </c>
    </row>
    <row r="21" ht="19.5" customHeight="1">
      <c r="A21" s="31" t="s">
        <v>720</v>
      </c>
      <c r="B21" s="32"/>
    </row>
    <row r="22" ht="15.75" customHeight="1">
      <c r="A22" s="40" t="s">
        <v>22</v>
      </c>
      <c r="B22" s="34" t="s">
        <v>721</v>
      </c>
    </row>
    <row r="23" ht="15.75" customHeight="1">
      <c r="A23" s="41" t="s">
        <v>62</v>
      </c>
      <c r="B23" s="34" t="s">
        <v>722</v>
      </c>
    </row>
    <row r="24" ht="15.75" customHeight="1">
      <c r="A24" s="42" t="s">
        <v>441</v>
      </c>
      <c r="B24" s="34" t="s">
        <v>723</v>
      </c>
    </row>
    <row r="25" ht="15.75" customHeight="1"/>
    <row r="26" ht="19.5" customHeight="1">
      <c r="A26" s="31" t="s">
        <v>724</v>
      </c>
      <c r="B26" s="32"/>
    </row>
    <row r="27" ht="15.75" customHeight="1">
      <c r="A27" s="33" t="s">
        <v>725</v>
      </c>
      <c r="B27" s="34" t="s">
        <v>726</v>
      </c>
    </row>
    <row r="28" ht="15.75" customHeight="1">
      <c r="A28" s="33" t="s">
        <v>727</v>
      </c>
      <c r="B28" s="34" t="s">
        <v>728</v>
      </c>
    </row>
    <row r="29" ht="15.75" customHeight="1">
      <c r="A29" s="33" t="s">
        <v>208</v>
      </c>
      <c r="B29" s="34" t="s">
        <v>729</v>
      </c>
    </row>
    <row r="30" ht="15.75" customHeight="1"/>
    <row r="31" ht="19.5" customHeight="1">
      <c r="A31" s="31" t="s">
        <v>730</v>
      </c>
      <c r="B31" s="32"/>
    </row>
    <row r="32" ht="15.75" customHeight="1">
      <c r="A32" s="33" t="s">
        <v>50</v>
      </c>
      <c r="B32" s="34" t="s">
        <v>731</v>
      </c>
    </row>
    <row r="33" ht="15.75" customHeight="1">
      <c r="A33" s="33" t="s">
        <v>261</v>
      </c>
      <c r="B33" s="34" t="s">
        <v>732</v>
      </c>
    </row>
    <row r="34" ht="15.75" customHeight="1">
      <c r="A34" s="33" t="s">
        <v>212</v>
      </c>
      <c r="B34" s="34" t="s">
        <v>733</v>
      </c>
    </row>
    <row r="35" ht="15.75" customHeight="1">
      <c r="A35" s="33" t="s">
        <v>311</v>
      </c>
      <c r="B35" s="34" t="s">
        <v>734</v>
      </c>
    </row>
    <row r="36" ht="15.75" customHeight="1">
      <c r="A36" s="33" t="s">
        <v>192</v>
      </c>
      <c r="B36" s="34" t="s">
        <v>735</v>
      </c>
    </row>
    <row r="37" ht="15.75" customHeight="1">
      <c r="A37" s="33" t="s">
        <v>81</v>
      </c>
      <c r="B37" s="34" t="s">
        <v>736</v>
      </c>
    </row>
    <row r="38" ht="15.75" customHeight="1">
      <c r="A38" s="33" t="s">
        <v>159</v>
      </c>
      <c r="B38" s="34" t="s">
        <v>737</v>
      </c>
    </row>
    <row r="39" ht="15.75" customHeight="1">
      <c r="A39" s="33" t="s">
        <v>598</v>
      </c>
      <c r="B39" s="34" t="s">
        <v>738</v>
      </c>
    </row>
    <row r="40" ht="15.75" customHeight="1">
      <c r="A40" s="33" t="s">
        <v>739</v>
      </c>
      <c r="B40" s="34" t="s">
        <v>740</v>
      </c>
    </row>
    <row r="41" ht="15.75" customHeight="1">
      <c r="A41" s="33" t="s">
        <v>146</v>
      </c>
      <c r="B41" s="34" t="s">
        <v>741</v>
      </c>
    </row>
    <row r="42" ht="15.75" customHeight="1">
      <c r="A42" s="33" t="s">
        <v>44</v>
      </c>
      <c r="B42" s="34" t="s">
        <v>742</v>
      </c>
    </row>
    <row r="43" ht="15.75" customHeight="1"/>
    <row r="44" ht="19.5" customHeight="1">
      <c r="A44" s="31" t="s">
        <v>743</v>
      </c>
      <c r="B44" s="32"/>
    </row>
    <row r="45" ht="15.75" customHeight="1">
      <c r="A45" s="33" t="s">
        <v>33</v>
      </c>
      <c r="B45" s="43" t="s">
        <v>744</v>
      </c>
    </row>
    <row r="46" ht="15.75" customHeight="1">
      <c r="A46" s="33" t="s">
        <v>27</v>
      </c>
      <c r="B46" s="43" t="s">
        <v>745</v>
      </c>
    </row>
    <row r="47" ht="15.75" customHeight="1">
      <c r="A47" s="33" t="s">
        <v>69</v>
      </c>
      <c r="B47" s="43" t="s">
        <v>746</v>
      </c>
    </row>
    <row r="48" ht="15.75" customHeight="1">
      <c r="A48" s="33" t="s">
        <v>82</v>
      </c>
      <c r="B48" s="43" t="s">
        <v>747</v>
      </c>
    </row>
    <row r="49" ht="15.75" customHeight="1"/>
    <row r="50" ht="19.5" customHeight="1">
      <c r="A50" s="31" t="s">
        <v>13</v>
      </c>
      <c r="B50" s="32"/>
    </row>
    <row r="51" ht="15.75" customHeight="1">
      <c r="A51" s="33" t="s">
        <v>26</v>
      </c>
      <c r="B51" s="43" t="s">
        <v>748</v>
      </c>
    </row>
    <row r="52" ht="15.75" customHeight="1">
      <c r="A52" s="33" t="s">
        <v>32</v>
      </c>
      <c r="B52" s="43" t="s">
        <v>749</v>
      </c>
    </row>
    <row r="53" ht="15.75" customHeight="1">
      <c r="A53" s="33" t="s">
        <v>291</v>
      </c>
      <c r="B53" s="43" t="s">
        <v>750</v>
      </c>
    </row>
    <row r="54" ht="15.75" customHeight="1"/>
    <row r="55" ht="19.5" customHeight="1">
      <c r="A55" s="31" t="s">
        <v>751</v>
      </c>
      <c r="B55" s="32"/>
    </row>
    <row r="56" ht="15.75" customHeight="1">
      <c r="A56" s="35" t="s">
        <v>752</v>
      </c>
      <c r="B56" s="43" t="str">
        <f>COUNTIF('Feature Matrix'!B:B,"Initial")</f>
        <v>21</v>
      </c>
    </row>
    <row r="57" ht="15.75" customHeight="1">
      <c r="A57" s="36" t="s">
        <v>753</v>
      </c>
      <c r="B57" s="43" t="str">
        <f>COUNTIF('Feature Matrix'!B:B,"MVP")</f>
        <v>37</v>
      </c>
    </row>
    <row r="58" ht="15.75" customHeight="1">
      <c r="A58" s="37" t="s">
        <v>754</v>
      </c>
      <c r="B58" s="43" t="str">
        <f>COUNTIF('Feature Matrix'!B:B,"V1")</f>
        <v>21</v>
      </c>
    </row>
    <row r="59" ht="15.75" customHeight="1">
      <c r="A59" s="38" t="s">
        <v>755</v>
      </c>
      <c r="B59" s="43" t="str">
        <f>COUNTIF('Feature Matrix'!B:B,"V2")</f>
        <v>14</v>
      </c>
    </row>
    <row r="60" ht="15.75" customHeight="1">
      <c r="A60" s="39" t="s">
        <v>756</v>
      </c>
      <c r="B60" s="43" t="str">
        <f>COUNTIF('Feature Matrix'!B:B,"V3")</f>
        <v>25</v>
      </c>
    </row>
    <row r="61" ht="15.75" customHeight="1">
      <c r="A61" s="33" t="s">
        <v>757</v>
      </c>
      <c r="B61" s="43" t="str">
        <f>COUNTIF('Feature Matrix'!L:L,"P0")</f>
        <v>34</v>
      </c>
    </row>
    <row r="62" ht="15.75" customHeight="1">
      <c r="A62" s="33" t="s">
        <v>758</v>
      </c>
      <c r="B62" s="43" t="str">
        <f>COUNTA('Feature Matrix'!A5:A200)</f>
        <v>118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44:B44"/>
    <mergeCell ref="A50:B50"/>
    <mergeCell ref="A55:B55"/>
    <mergeCell ref="A1:B1"/>
    <mergeCell ref="A3:B3"/>
    <mergeCell ref="A9:B9"/>
    <mergeCell ref="A16:B16"/>
    <mergeCell ref="A21:B21"/>
    <mergeCell ref="A26:B26"/>
    <mergeCell ref="A31:B31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2026-06-09T20:37:01Z</dcterms:created>
  <dc:creator>openpyxl</dc:creator>
  <dc:description/>
  <dc:language>en-US</dc:language>
  <cp:lastModifiedBy/>
  <dcterms:modified xsi:type="dcterms:W3CDTF">2026-06-09T20:37:01Z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